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harsh\Downloads\"/>
    </mc:Choice>
  </mc:AlternateContent>
  <xr:revisionPtr revIDLastSave="0" documentId="13_ncr:1_{B4EF0416-8343-4D08-90A1-F4FC6EBF87FC}" xr6:coauthVersionLast="47" xr6:coauthVersionMax="47" xr10:uidLastSave="{00000000-0000-0000-0000-000000000000}"/>
  <bookViews>
    <workbookView xWindow="-108" yWindow="-108" windowWidth="23256" windowHeight="12456" activeTab="1" xr2:uid="{DE1C4AAA-712E-49D8-BA5D-9B11F902A79B}"/>
  </bookViews>
  <sheets>
    <sheet name="Sheet1" sheetId="1" r:id="rId1"/>
    <sheet name="Sheet2" sheetId="2" r:id="rId2"/>
  </sheets>
  <definedNames>
    <definedName name="Slicer_Patient_Admission_Date__Month">#N/A</definedName>
    <definedName name="Slicer_Patient_Admission_Date__Year">#N/A</definedName>
  </definedNames>
  <calcPr calcId="191029"/>
  <pivotCaches>
    <pivotCache cacheId="0" r:id="rId3"/>
    <pivotCache cacheId="1" r:id="rId4"/>
    <pivotCache cacheId="2" r:id="rId5"/>
    <pivotCache cacheId="3" r:id="rId6"/>
    <pivotCache cacheId="4" r:id="rId7"/>
    <pivotCache cacheId="5" r:id="rId8"/>
    <pivotCache cacheId="6" r:id="rId9"/>
    <pivotCache cacheId="7" r:id="rId10"/>
    <pivotCache cacheId="8" r:id="rId11"/>
    <pivotCache cacheId="9" r:id="rId12"/>
  </pivotCaches>
  <extLst>
    <ext xmlns:x14="http://schemas.microsoft.com/office/spreadsheetml/2009/9/main" uri="{876F7934-8845-4945-9796-88D515C7AA90}">
      <x14:pivotCaches>
        <pivotCache cacheId="10" r:id="rId13"/>
      </x14:pivotCaches>
    </ex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e3173eaf-6240-47e6-9dac-1c5d7ef3388c" name="Hospital Emergency Room Data" connection="Query - Hospital Emergency Room Data"/>
        </x15:modelTables>
        <x15:extLst>
          <ext xmlns:x16="http://schemas.microsoft.com/office/spreadsheetml/2014/11/main" uri="{9835A34E-60A6-4A7C-AAB8-D5F71C897F49}">
            <x16:modelTimeGroupings>
              <x16:modelTimeGrouping tableName="Hospital Emergency Room Data" columnName="Patient Admission Date" columnId="Patient Admission Date">
                <x16:calculatedTimeColumn columnName="Patient Admission Date (Year)" columnId="Patient Admission Date (Year)" contentType="years" isSelected="1"/>
                <x16:calculatedTimeColumn columnName="Patient Admission Date (Quarter)" columnId="Patient Admission Date (Quarter)" contentType="quarters" isSelected="1"/>
                <x16:calculatedTimeColumn columnName="Patient Admission Date (Month Index)" columnId="Patient Admission Date (Month Index)" contentType="monthsindex" isSelected="1"/>
                <x16:calculatedTimeColumn columnName="Patient Admission Date (Month)" columnId="Patient Admission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5" i="1" l="1"/>
  <c r="J54" i="1"/>
  <c r="Q60" i="1"/>
  <c r="G53" i="1"/>
  <c r="G52" i="1"/>
  <c r="L53" i="1"/>
  <c r="L54" i="1"/>
  <c r="J31" i="1"/>
  <c r="J32" i="1"/>
  <c r="J33" i="1"/>
  <c r="J34" i="1"/>
  <c r="J35" i="1"/>
  <c r="J36" i="1"/>
  <c r="J37" i="1"/>
  <c r="J38" i="1"/>
  <c r="J39" i="1"/>
  <c r="J40" i="1"/>
  <c r="J41" i="1"/>
  <c r="J30" i="1"/>
  <c r="K30" i="1"/>
  <c r="J57" i="1" l="1"/>
  <c r="G55" i="1"/>
  <c r="L56" i="1"/>
  <c r="K41" i="1"/>
  <c r="K40" i="1"/>
  <c r="K39" i="1"/>
  <c r="K38" i="1"/>
  <c r="K37" i="1"/>
  <c r="K36" i="1"/>
  <c r="K35" i="1"/>
  <c r="K34" i="1"/>
  <c r="K33" i="1"/>
  <c r="K32" i="1"/>
  <c r="K3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303BF0A-E3C8-443F-ADB2-B4877B0DAB8E}"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7d165b10-f304-4d63-9881-1a01fc9fac7c"/>
      </ext>
    </extLst>
  </connection>
  <connection id="2" xr16:uid="{391E31E9-E530-4D0F-8D60-994CD3B2E56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Hospital Emergency Room Data].[Patient Admission Date (Year)].[All]}"/>
  </metadataStrings>
  <mdxMetadata count="1">
    <mdx n="0" f="s">
      <ms ns="1" c="0"/>
    </mdx>
  </mdxMetadata>
  <valueMetadata count="1">
    <bk>
      <rc t="1" v="0"/>
    </bk>
  </valueMetadata>
</metadata>
</file>

<file path=xl/sharedStrings.xml><?xml version="1.0" encoding="utf-8"?>
<sst xmlns="http://schemas.openxmlformats.org/spreadsheetml/2006/main" count="93" uniqueCount="54">
  <si>
    <t>Row Labels</t>
  </si>
  <si>
    <t>Grand Total</t>
  </si>
  <si>
    <t>Total Patient</t>
  </si>
  <si>
    <t>Apr</t>
  </si>
  <si>
    <t>May</t>
  </si>
  <si>
    <t>Jun</t>
  </si>
  <si>
    <t>Jul</t>
  </si>
  <si>
    <t>Aug</t>
  </si>
  <si>
    <t>Sep</t>
  </si>
  <si>
    <t>Oct</t>
  </si>
  <si>
    <t>Nov</t>
  </si>
  <si>
    <t>Dec</t>
  </si>
  <si>
    <t>Jan</t>
  </si>
  <si>
    <t>Feb</t>
  </si>
  <si>
    <t>Mar</t>
  </si>
  <si>
    <t>Female</t>
  </si>
  <si>
    <t>Male</t>
  </si>
  <si>
    <t>0-20</t>
  </si>
  <si>
    <t>21-40</t>
  </si>
  <si>
    <t>41-60</t>
  </si>
  <si>
    <t>61-80</t>
  </si>
  <si>
    <t>Age Range</t>
  </si>
  <si>
    <t>Gender</t>
  </si>
  <si>
    <t>Cardiology</t>
  </si>
  <si>
    <t>Gastroenterology</t>
  </si>
  <si>
    <t>General Practice</t>
  </si>
  <si>
    <t>Neurology</t>
  </si>
  <si>
    <t>Orthopedics</t>
  </si>
  <si>
    <t>Physiotherapy</t>
  </si>
  <si>
    <t>Renal</t>
  </si>
  <si>
    <t>Average of Patient Waittime</t>
  </si>
  <si>
    <t>Patient Admission Date (Year)</t>
  </si>
  <si>
    <t>All</t>
  </si>
  <si>
    <t>Average of Patient Satisfaction Score</t>
  </si>
  <si>
    <t>R Mallia</t>
  </si>
  <si>
    <t>Count of Patient Name</t>
  </si>
  <si>
    <t>No of repeated patient</t>
  </si>
  <si>
    <t>Count of Patient Id</t>
  </si>
  <si>
    <t>Value</t>
  </si>
  <si>
    <t>Month</t>
  </si>
  <si>
    <t>Count</t>
  </si>
  <si>
    <t>2024</t>
  </si>
  <si>
    <t>2023</t>
  </si>
  <si>
    <t xml:space="preserve"> </t>
  </si>
  <si>
    <t>Patient per depart</t>
  </si>
  <si>
    <t xml:space="preserve">Satisfaction </t>
  </si>
  <si>
    <t>AVG Waiting time</t>
  </si>
  <si>
    <t>To find the Year and place it in chart 1 (No of patients per month and year)</t>
  </si>
  <si>
    <t>This is used for chart 1 (patients by month )</t>
  </si>
  <si>
    <t>for highlight the month</t>
  </si>
  <si>
    <t>Extracted the value and pasted as formula</t>
  </si>
  <si>
    <t>Count of Patient Admission Flag</t>
  </si>
  <si>
    <t>Admitted</t>
  </si>
  <si>
    <t>Not Admitted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</si>
</sst>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 x14ac:knownFonts="1">
    <font>
      <sz val="11"/>
      <color theme="1"/>
      <name val="Calibri"/>
      <family val="2"/>
      <scheme val="minor"/>
    </font>
  </fonts>
  <fills count="6">
    <fill>
      <patternFill patternType="none"/>
    </fill>
    <fill>
      <patternFill patternType="gray125"/>
    </fill>
    <fill>
      <patternFill patternType="solid">
        <fgColor theme="5" tint="0.59999389629810485"/>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rgb="FF525252"/>
        <bgColor indexed="64"/>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58">
    <xf numFmtId="0" fontId="0" fillId="0" borderId="0" xfId="0"/>
    <xf numFmtId="0" fontId="0" fillId="0" borderId="0" xfId="0" pivotButton="1"/>
    <xf numFmtId="0" fontId="0" fillId="0" borderId="0" xfId="0" applyAlignment="1">
      <alignment horizontal="left"/>
    </xf>
    <xf numFmtId="0" fontId="0" fillId="2" borderId="0" xfId="0" applyFill="1" applyAlignment="1">
      <alignment horizontal="left"/>
    </xf>
    <xf numFmtId="0" fontId="0" fillId="2" borderId="0" xfId="0" applyFill="1"/>
    <xf numFmtId="0" fontId="0" fillId="0" borderId="0" xfId="0" applyAlignment="1">
      <alignment vertical="center"/>
    </xf>
    <xf numFmtId="0" fontId="0" fillId="2" borderId="0" xfId="0" applyFill="1" applyAlignment="1">
      <alignment wrapText="1"/>
    </xf>
    <xf numFmtId="0" fontId="0" fillId="4" borderId="0" xfId="0" applyFill="1"/>
    <xf numFmtId="0" fontId="0" fillId="0" borderId="3" xfId="0" applyBorder="1"/>
    <xf numFmtId="0" fontId="0" fillId="0" borderId="5" xfId="0" applyBorder="1"/>
    <xf numFmtId="0" fontId="0" fillId="0" borderId="4" xfId="0" applyBorder="1"/>
    <xf numFmtId="0" fontId="0" fillId="0" borderId="6" xfId="0" applyBorder="1"/>
    <xf numFmtId="0" fontId="0" fillId="2" borderId="2" xfId="0" applyFill="1" applyBorder="1" applyAlignment="1">
      <alignment horizontal="left"/>
    </xf>
    <xf numFmtId="0" fontId="0" fillId="0" borderId="7" xfId="0" applyBorder="1"/>
    <xf numFmtId="0" fontId="0" fillId="2" borderId="2" xfId="0" applyFill="1" applyBorder="1" applyAlignment="1">
      <alignment horizontal="left" vertical="top" wrapText="1"/>
    </xf>
    <xf numFmtId="0" fontId="0" fillId="0" borderId="8" xfId="0" applyBorder="1"/>
    <xf numFmtId="0" fontId="0" fillId="3" borderId="5" xfId="0" applyFill="1" applyBorder="1"/>
    <xf numFmtId="4" fontId="0" fillId="0" borderId="10" xfId="0" applyNumberFormat="1" applyBorder="1"/>
    <xf numFmtId="4" fontId="0" fillId="0" borderId="11" xfId="0" applyNumberFormat="1" applyBorder="1"/>
    <xf numFmtId="0" fontId="0" fillId="3" borderId="1" xfId="0" applyFill="1" applyBorder="1"/>
    <xf numFmtId="0" fontId="0" fillId="3" borderId="1" xfId="0" applyFill="1" applyBorder="1" applyAlignment="1">
      <alignment horizontal="center"/>
    </xf>
    <xf numFmtId="4" fontId="0" fillId="0" borderId="10" xfId="0" applyNumberFormat="1" applyBorder="1" applyAlignment="1">
      <alignment horizontal="center"/>
    </xf>
    <xf numFmtId="4" fontId="0" fillId="0" borderId="11" xfId="0" applyNumberFormat="1"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4" fontId="0" fillId="3" borderId="7" xfId="0" applyNumberFormat="1" applyFill="1" applyBorder="1" applyAlignment="1">
      <alignment horizontal="center"/>
    </xf>
    <xf numFmtId="0" fontId="0" fillId="3" borderId="6" xfId="0" applyFill="1" applyBorder="1" applyAlignment="1">
      <alignment horizontal="center"/>
    </xf>
    <xf numFmtId="0" fontId="0" fillId="4" borderId="2" xfId="0" applyFill="1" applyBorder="1"/>
    <xf numFmtId="0" fontId="0" fillId="4" borderId="8" xfId="0" applyFill="1" applyBorder="1"/>
    <xf numFmtId="0" fontId="0" fillId="4" borderId="3" xfId="0" applyFill="1" applyBorder="1"/>
    <xf numFmtId="0" fontId="0" fillId="4" borderId="4" xfId="0" applyFill="1" applyBorder="1" applyAlignment="1">
      <alignment horizontal="left"/>
    </xf>
    <xf numFmtId="0" fontId="0" fillId="4" borderId="5" xfId="0" applyFill="1" applyBorder="1"/>
    <xf numFmtId="0" fontId="0" fillId="4" borderId="6" xfId="0" applyFill="1" applyBorder="1" applyAlignment="1">
      <alignment horizontal="left"/>
    </xf>
    <xf numFmtId="0" fontId="0" fillId="4" borderId="9" xfId="0" applyFill="1" applyBorder="1"/>
    <xf numFmtId="0" fontId="0" fillId="4" borderId="7" xfId="0" applyFill="1" applyBorder="1"/>
    <xf numFmtId="0" fontId="0" fillId="0" borderId="1" xfId="0" pivotButton="1" applyBorder="1"/>
    <xf numFmtId="0" fontId="0" fillId="0" borderId="10" xfId="0" applyBorder="1" applyAlignment="1">
      <alignment horizontal="left"/>
    </xf>
    <xf numFmtId="0" fontId="0" fillId="0" borderId="11" xfId="0" applyBorder="1" applyAlignment="1">
      <alignment horizontal="left"/>
    </xf>
    <xf numFmtId="0" fontId="0" fillId="0" borderId="1" xfId="0" applyBorder="1"/>
    <xf numFmtId="0" fontId="0" fillId="0" borderId="1" xfId="0" applyBorder="1" applyAlignment="1">
      <alignment wrapText="1"/>
    </xf>
    <xf numFmtId="0" fontId="0" fillId="0" borderId="10" xfId="0" applyBorder="1"/>
    <xf numFmtId="0" fontId="0" fillId="0" borderId="11" xfId="0" applyBorder="1"/>
    <xf numFmtId="0" fontId="0" fillId="0" borderId="1" xfId="0" applyBorder="1" applyAlignment="1">
      <alignment horizontal="left"/>
    </xf>
    <xf numFmtId="2" fontId="0" fillId="0" borderId="10" xfId="0" applyNumberFormat="1" applyBorder="1"/>
    <xf numFmtId="2" fontId="0" fillId="0" borderId="11" xfId="0" applyNumberFormat="1" applyBorder="1"/>
    <xf numFmtId="0" fontId="0" fillId="4" borderId="13" xfId="0" applyFill="1" applyBorder="1"/>
    <xf numFmtId="0" fontId="0" fillId="4" borderId="14" xfId="0" applyFill="1" applyBorder="1"/>
    <xf numFmtId="0" fontId="0" fillId="4" borderId="10" xfId="0" applyFill="1" applyBorder="1"/>
    <xf numFmtId="0" fontId="0" fillId="4" borderId="12" xfId="0" applyFill="1" applyBorder="1"/>
    <xf numFmtId="0" fontId="0" fillId="4" borderId="11" xfId="0" applyFill="1" applyBorder="1"/>
    <xf numFmtId="0" fontId="0" fillId="4" borderId="1" xfId="0" applyFill="1" applyBorder="1"/>
    <xf numFmtId="0" fontId="0" fillId="4" borderId="10" xfId="0" applyFill="1" applyBorder="1" applyAlignment="1">
      <alignment horizontal="left"/>
    </xf>
    <xf numFmtId="0" fontId="0" fillId="4" borderId="12" xfId="0" applyFill="1" applyBorder="1" applyAlignment="1">
      <alignment horizontal="left"/>
    </xf>
    <xf numFmtId="0" fontId="0" fillId="4" borderId="11" xfId="0" applyFill="1" applyBorder="1" applyAlignment="1">
      <alignment horizontal="left"/>
    </xf>
    <xf numFmtId="0" fontId="0" fillId="4" borderId="1" xfId="0" applyFill="1" applyBorder="1" applyAlignment="1">
      <alignment horizontal="left"/>
    </xf>
    <xf numFmtId="0" fontId="0" fillId="5" borderId="0" xfId="0" applyFill="1" applyAlignment="1">
      <alignment vertical="top"/>
    </xf>
    <xf numFmtId="0" fontId="0" fillId="5" borderId="0" xfId="0" applyFill="1"/>
    <xf numFmtId="0" fontId="0" fillId="4" borderId="9" xfId="0" applyFill="1" applyBorder="1" applyAlignment="1">
      <alignment horizontal="center"/>
    </xf>
  </cellXfs>
  <cellStyles count="1">
    <cellStyle name="Normal" xfId="0" builtinId="0"/>
  </cellStyles>
  <dxfs count="39">
    <dxf>
      <alignment wrapText="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7" tint="0.59999389629810485"/>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patternType="solid">
          <bgColor theme="7" tint="0.59999389629810485"/>
        </patternFill>
      </fill>
    </dxf>
    <dxf>
      <fill>
        <patternFill>
          <bgColor theme="5" tint="0.59999389629810485"/>
        </patternFill>
      </fill>
    </dxf>
    <dxf>
      <fill>
        <patternFill patternType="solid">
          <bgColor theme="7" tint="0.59999389629810485"/>
        </patternFill>
      </fill>
    </dxf>
    <dxf>
      <alignment wrapText="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i val="0"/>
        <sz val="10"/>
        <color theme="1"/>
      </font>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s>
  <tableStyles count="2" defaultTableStyle="TableStyleMedium2" defaultPivotStyle="PivotStyleLight16">
    <tableStyle name="Invisible" pivot="0" table="0" count="0" xr9:uid="{0A28633D-7236-4887-99D8-F49DA1E610A7}"/>
    <tableStyle name="SlicerStyleLight2 3" pivot="0" table="0" count="10" xr9:uid="{C2A9D64A-49B6-4C5E-94C4-90DD6C64F89C}">
      <tableStyleElement type="wholeTable" dxfId="38"/>
      <tableStyleElement type="headerRow" dxfId="37"/>
    </tableStyle>
  </tableStyles>
  <colors>
    <mruColors>
      <color rgb="FF525252"/>
      <color rgb="FFF4B184"/>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7" tint="0.7999816888943144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5117038483843"/>
              <bgColor theme="5" tint="0.3999450666829432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rgb="FFF4B18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5"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1.xml"/><Relationship Id="rId18" Type="http://schemas.openxmlformats.org/officeDocument/2006/relationships/styles" Target="style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50" Type="http://schemas.openxmlformats.org/officeDocument/2006/relationships/customXml" Target="../customXml/item28.xml"/><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7.xml"/><Relationship Id="rId11" Type="http://schemas.openxmlformats.org/officeDocument/2006/relationships/pivotCacheDefinition" Target="pivotCache/pivotCacheDefinition9.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3" Type="http://schemas.openxmlformats.org/officeDocument/2006/relationships/customXml" Target="../customXml/item31.xml"/><Relationship Id="rId5" Type="http://schemas.openxmlformats.org/officeDocument/2006/relationships/pivotCacheDefinition" Target="pivotCache/pivotCacheDefinition3.xml"/><Relationship Id="rId10" Type="http://schemas.openxmlformats.org/officeDocument/2006/relationships/pivotCacheDefinition" Target="pivotCache/pivotCacheDefinition8.xml"/><Relationship Id="rId19" Type="http://schemas.openxmlformats.org/officeDocument/2006/relationships/sharedStrings" Target="sharedStrings.xml"/><Relationship Id="rId31" Type="http://schemas.openxmlformats.org/officeDocument/2006/relationships/customXml" Target="../customXml/item9.xml"/><Relationship Id="rId44" Type="http://schemas.openxmlformats.org/officeDocument/2006/relationships/customXml" Target="../customXml/item22.xml"/><Relationship Id="rId52" Type="http://schemas.openxmlformats.org/officeDocument/2006/relationships/customXml" Target="../customXml/item30.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microsoft.com/office/2007/relationships/slicerCache" Target="slicerCaches/slicerCache1.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8" Type="http://schemas.openxmlformats.org/officeDocument/2006/relationships/pivotCacheDefinition" Target="pivotCache/pivotCacheDefinition6.xml"/><Relationship Id="rId51" Type="http://schemas.openxmlformats.org/officeDocument/2006/relationships/customXml" Target="../customXml/item29.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openxmlformats.org/officeDocument/2006/relationships/connections" Target="connections.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20" Type="http://schemas.openxmlformats.org/officeDocument/2006/relationships/sheetMetadata" Target="metadata.xml"/><Relationship Id="rId41" Type="http://schemas.openxmlformats.org/officeDocument/2006/relationships/customXml" Target="../customXml/item19.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5" Type="http://schemas.microsoft.com/office/2007/relationships/slicerCache" Target="slicerCaches/slicerCache2.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IN" sz="1000" b="0" i="1" baseline="0">
                <a:solidFill>
                  <a:schemeClr val="dk1"/>
                </a:solidFill>
                <a:effectLst/>
              </a:rPr>
              <a:t>No.of Patients by Month </a:t>
            </a:r>
          </a:p>
        </c:rich>
      </c:tx>
      <c:layout>
        <c:manualLayout>
          <c:xMode val="edge"/>
          <c:yMode val="edge"/>
          <c:x val="2.2037490211188771E-2"/>
          <c:y val="1.6179429447920498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5204706900657393E-2"/>
          <c:y val="0.14451762168877763"/>
          <c:w val="0.91847713795481789"/>
          <c:h val="0.71985639807840551"/>
        </c:manualLayout>
      </c:layout>
      <c:barChart>
        <c:barDir val="col"/>
        <c:grouping val="clustered"/>
        <c:varyColors val="0"/>
        <c:ser>
          <c:idx val="0"/>
          <c:order val="0"/>
          <c:tx>
            <c:strRef>
              <c:f>Sheet1!$J$29</c:f>
              <c:strCache>
                <c:ptCount val="1"/>
                <c:pt idx="0">
                  <c:v>Count</c:v>
                </c:pt>
              </c:strCache>
            </c:strRef>
          </c:tx>
          <c:spPr>
            <a:solidFill>
              <a:schemeClr val="accent2">
                <a:lumMod val="60000"/>
                <a:lumOff val="40000"/>
              </a:schemeClr>
            </a:solidFill>
            <a:ln>
              <a:solidFill>
                <a:schemeClr val="tx1"/>
              </a:solidFill>
            </a:ln>
            <a:effectLst>
              <a:glow rad="63500">
                <a:schemeClr val="accent3">
                  <a:satMod val="175000"/>
                  <a:alpha val="40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Sheet1!$I$30:$I$41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Sheet1!$J$30:$J$41</c:f>
              <c:numCache>
                <c:formatCode>General</c:formatCode>
                <c:ptCount val="12"/>
                <c:pt idx="0">
                  <c:v>513</c:v>
                </c:pt>
                <c:pt idx="1">
                  <c:v>431</c:v>
                </c:pt>
                <c:pt idx="2">
                  <c:v>506</c:v>
                </c:pt>
                <c:pt idx="3">
                  <c:v>948</c:v>
                </c:pt>
                <c:pt idx="4">
                  <c:v>999</c:v>
                </c:pt>
                <c:pt idx="5">
                  <c:v>991</c:v>
                </c:pt>
                <c:pt idx="6">
                  <c:v>952</c:v>
                </c:pt>
                <c:pt idx="7">
                  <c:v>1024</c:v>
                </c:pt>
                <c:pt idx="8">
                  <c:v>935</c:v>
                </c:pt>
                <c:pt idx="9">
                  <c:v>964</c:v>
                </c:pt>
                <c:pt idx="10">
                  <c:v>464</c:v>
                </c:pt>
                <c:pt idx="11">
                  <c:v>489</c:v>
                </c:pt>
              </c:numCache>
            </c:numRef>
          </c:val>
          <c:extLst>
            <c:ext xmlns:c16="http://schemas.microsoft.com/office/drawing/2014/chart" uri="{C3380CC4-5D6E-409C-BE32-E72D297353CC}">
              <c16:uniqueId val="{00000000-50BF-4A03-8A40-0A3DC2E35249}"/>
            </c:ext>
          </c:extLst>
        </c:ser>
        <c:ser>
          <c:idx val="1"/>
          <c:order val="1"/>
          <c:tx>
            <c:v>Month</c:v>
          </c:tx>
          <c:spPr>
            <a:solidFill>
              <a:schemeClr val="accent2">
                <a:lumMod val="75000"/>
              </a:schemeClr>
            </a:solidFill>
            <a:ln>
              <a:noFill/>
            </a:ln>
            <a:effectLst/>
          </c:spPr>
          <c:invertIfNegative val="0"/>
          <c:dPt>
            <c:idx val="0"/>
            <c:invertIfNegative val="0"/>
            <c:bubble3D val="0"/>
            <c:spPr>
              <a:solidFill>
                <a:schemeClr val="accent2">
                  <a:lumMod val="75000"/>
                </a:schemeClr>
              </a:solidFill>
              <a:ln>
                <a:solidFill>
                  <a:schemeClr val="accent1"/>
                </a:solidFill>
              </a:ln>
              <a:effectLst>
                <a:outerShdw blurRad="50800" dist="50800" dir="5400000" algn="ctr" rotWithShape="0">
                  <a:schemeClr val="bg1"/>
                </a:outerShdw>
              </a:effectLst>
            </c:spPr>
            <c:extLst>
              <c:ext xmlns:c16="http://schemas.microsoft.com/office/drawing/2014/chart" uri="{C3380CC4-5D6E-409C-BE32-E72D297353CC}">
                <c16:uniqueId val="{00000002-50BF-4A03-8A40-0A3DC2E35249}"/>
              </c:ext>
            </c:extLst>
          </c:dPt>
          <c:dLbls>
            <c:dLbl>
              <c:idx val="0"/>
              <c:delete val="1"/>
              <c:extLst>
                <c:ext xmlns:c15="http://schemas.microsoft.com/office/drawing/2012/chart" uri="{CE6537A1-D6FC-4f65-9D91-7224C49458BB}"/>
                <c:ext xmlns:c16="http://schemas.microsoft.com/office/drawing/2014/chart" uri="{C3380CC4-5D6E-409C-BE32-E72D297353CC}">
                  <c16:uniqueId val="{00000002-50BF-4A03-8A40-0A3DC2E352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Sheet1!$K$30:$K$41</c:f>
              <c:numCache>
                <c:formatCode>General</c:formatCode>
                <c:ptCount val="12"/>
                <c:pt idx="0">
                  <c:v>#N/A</c:v>
                </c:pt>
                <c:pt idx="1">
                  <c:v>#N/A</c:v>
                </c:pt>
                <c:pt idx="2">
                  <c:v>#N/A</c:v>
                </c:pt>
                <c:pt idx="3">
                  <c:v>#N/A</c:v>
                </c:pt>
                <c:pt idx="4">
                  <c:v>#N/A</c:v>
                </c:pt>
                <c:pt idx="5">
                  <c:v>#N/A</c:v>
                </c:pt>
                <c:pt idx="6">
                  <c:v>#N/A</c:v>
                </c:pt>
                <c:pt idx="7">
                  <c:v>#N/A</c:v>
                </c:pt>
                <c:pt idx="8">
                  <c:v>#N/A</c:v>
                </c:pt>
                <c:pt idx="9">
                  <c:v>964</c:v>
                </c:pt>
                <c:pt idx="10">
                  <c:v>#N/A</c:v>
                </c:pt>
                <c:pt idx="11">
                  <c:v>#N/A</c:v>
                </c:pt>
              </c:numCache>
            </c:numRef>
          </c:val>
          <c:extLst>
            <c:ext xmlns:c16="http://schemas.microsoft.com/office/drawing/2014/chart" uri="{C3380CC4-5D6E-409C-BE32-E72D297353CC}">
              <c16:uniqueId val="{00000001-50BF-4A03-8A40-0A3DC2E35249}"/>
            </c:ext>
          </c:extLst>
        </c:ser>
        <c:dLbls>
          <c:dLblPos val="outEnd"/>
          <c:showLegendKey val="0"/>
          <c:showVal val="1"/>
          <c:showCatName val="0"/>
          <c:showSerName val="0"/>
          <c:showPercent val="0"/>
          <c:showBubbleSize val="0"/>
        </c:dLbls>
        <c:gapWidth val="163"/>
        <c:overlap val="100"/>
        <c:axId val="82907488"/>
        <c:axId val="82909408"/>
      </c:barChart>
      <c:catAx>
        <c:axId val="82907488"/>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2909408"/>
        <c:crosses val="autoZero"/>
        <c:auto val="1"/>
        <c:lblAlgn val="ctr"/>
        <c:lblOffset val="100"/>
        <c:noMultiLvlLbl val="0"/>
      </c:catAx>
      <c:valAx>
        <c:axId val="82909408"/>
        <c:scaling>
          <c:orientation val="minMax"/>
          <c:max val="1200"/>
        </c:scaling>
        <c:delete val="1"/>
        <c:axPos val="l"/>
        <c:numFmt formatCode="General" sourceLinked="1"/>
        <c:majorTickMark val="none"/>
        <c:minorTickMark val="none"/>
        <c:tickLblPos val="nextTo"/>
        <c:crossAx val="8290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Room.xlsm]Sheet1!PivotTable7</c:name>
    <c:fmtId val="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000" b="0" i="1" u="none" strike="noStrike" kern="1200" spc="0" baseline="0">
                <a:solidFill>
                  <a:schemeClr val="dk1"/>
                </a:solidFill>
                <a:effectLst/>
                <a:latin typeface="+mn-lt"/>
                <a:ea typeface="+mn-ea"/>
                <a:cs typeface="+mn-cs"/>
              </a:defRPr>
            </a:pPr>
            <a:r>
              <a:rPr lang="en-US" sz="1000" b="0" i="1" u="none" strike="noStrike" kern="1200" spc="0" baseline="0">
                <a:solidFill>
                  <a:schemeClr val="dk1"/>
                </a:solidFill>
                <a:effectLst/>
                <a:latin typeface="+mn-lt"/>
                <a:ea typeface="+mn-ea"/>
                <a:cs typeface="+mn-cs"/>
              </a:rPr>
              <a:t>No.of Patients by Department</a:t>
            </a:r>
          </a:p>
        </c:rich>
      </c:tx>
      <c:layout>
        <c:manualLayout>
          <c:xMode val="edge"/>
          <c:yMode val="edge"/>
          <c:x val="2.1750497816115367E-2"/>
          <c:y val="2.418503454363305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000" b="0" i="1" u="none" strike="noStrike" kern="1200" spc="0" baseline="0">
              <a:solidFill>
                <a:schemeClr val="dk1"/>
              </a:solidFill>
              <a:effectLst/>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solidFill>
              <a:schemeClr val="tx1"/>
            </a:solidFill>
          </a:ln>
          <a:effectLst/>
        </c:spPr>
        <c:marker>
          <c:symbol val="circle"/>
          <c:size val="5"/>
          <c:spPr>
            <a:solidFill>
              <a:schemeClr val="accent2">
                <a:lumMod val="75000"/>
              </a:schemeClr>
            </a:solidFill>
            <a:ln w="9525">
              <a:solidFill>
                <a:srgbClr val="F4B18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a:solidFill>
              <a:sysClr val="windowText" lastClr="000000"/>
            </a:solidFill>
          </a:ln>
          <a:effectLst>
            <a:glow rad="38100">
              <a:schemeClr val="bg2">
                <a:lumMod val="75000"/>
                <a:alpha val="47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348400164399025"/>
          <c:y val="0.13167970438735913"/>
          <c:w val="0.6199821656335387"/>
          <c:h val="0.79946322589003882"/>
        </c:manualLayout>
      </c:layout>
      <c:barChart>
        <c:barDir val="bar"/>
        <c:grouping val="clustered"/>
        <c:varyColors val="0"/>
        <c:ser>
          <c:idx val="0"/>
          <c:order val="0"/>
          <c:tx>
            <c:strRef>
              <c:f>Sheet1!$M$4</c:f>
              <c:strCache>
                <c:ptCount val="1"/>
                <c:pt idx="0">
                  <c:v>Total</c:v>
                </c:pt>
              </c:strCache>
            </c:strRef>
          </c:tx>
          <c:spPr>
            <a:solidFill>
              <a:schemeClr val="accent2">
                <a:lumMod val="60000"/>
                <a:lumOff val="40000"/>
              </a:schemeClr>
            </a:solidFill>
            <a:ln>
              <a:solidFill>
                <a:sysClr val="windowText" lastClr="000000"/>
              </a:solidFill>
            </a:ln>
            <a:effectLst>
              <a:glow rad="38100">
                <a:schemeClr val="bg2">
                  <a:lumMod val="75000"/>
                  <a:alpha val="47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Sheet1!$L$5:$L$12</c:f>
              <c:strCache>
                <c:ptCount val="7"/>
                <c:pt idx="0">
                  <c:v>Cardiology</c:v>
                </c:pt>
                <c:pt idx="1">
                  <c:v>Gastroenterology</c:v>
                </c:pt>
                <c:pt idx="2">
                  <c:v>General Practice</c:v>
                </c:pt>
                <c:pt idx="3">
                  <c:v>Neurology</c:v>
                </c:pt>
                <c:pt idx="4">
                  <c:v>Orthopedics</c:v>
                </c:pt>
                <c:pt idx="5">
                  <c:v>Physiotherapy</c:v>
                </c:pt>
                <c:pt idx="6">
                  <c:v>Renal</c:v>
                </c:pt>
              </c:strCache>
            </c:strRef>
          </c:cat>
          <c:val>
            <c:numRef>
              <c:f>Sheet1!$M$5:$M$12</c:f>
              <c:numCache>
                <c:formatCode>General</c:formatCode>
                <c:ptCount val="7"/>
                <c:pt idx="0">
                  <c:v>23</c:v>
                </c:pt>
                <c:pt idx="1">
                  <c:v>18</c:v>
                </c:pt>
                <c:pt idx="2">
                  <c:v>740</c:v>
                </c:pt>
                <c:pt idx="3">
                  <c:v>26</c:v>
                </c:pt>
                <c:pt idx="4">
                  <c:v>115</c:v>
                </c:pt>
                <c:pt idx="5">
                  <c:v>32</c:v>
                </c:pt>
                <c:pt idx="6">
                  <c:v>10</c:v>
                </c:pt>
              </c:numCache>
            </c:numRef>
          </c:val>
          <c:extLst>
            <c:ext xmlns:c16="http://schemas.microsoft.com/office/drawing/2014/chart" uri="{C3380CC4-5D6E-409C-BE32-E72D297353CC}">
              <c16:uniqueId val="{00000013-4A0B-4927-B423-4F5BCDE952A7}"/>
            </c:ext>
          </c:extLst>
        </c:ser>
        <c:dLbls>
          <c:showLegendKey val="0"/>
          <c:showVal val="1"/>
          <c:showCatName val="0"/>
          <c:showSerName val="0"/>
          <c:showPercent val="0"/>
          <c:showBubbleSize val="0"/>
        </c:dLbls>
        <c:gapWidth val="102"/>
        <c:axId val="1672736528"/>
        <c:axId val="1672740368"/>
      </c:barChart>
      <c:catAx>
        <c:axId val="1672736528"/>
        <c:scaling>
          <c:orientation val="minMax"/>
        </c:scaling>
        <c:delete val="0"/>
        <c:axPos val="l"/>
        <c:numFmt formatCode="General" sourceLinked="1"/>
        <c:majorTickMark val="none"/>
        <c:minorTickMark val="none"/>
        <c:tickLblPos val="nextTo"/>
        <c:spPr>
          <a:noFill/>
          <a:ln w="9525" cap="flat" cmpd="sng" algn="ctr">
            <a:solidFill>
              <a:sysClr val="windowText" lastClr="000000"/>
            </a:solidFill>
            <a:round/>
          </a:ln>
          <a:effectLst/>
        </c:spPr>
        <c:txPr>
          <a:bodyPr rot="0" spcFirstLastPara="1" vertOverflow="ellipsis" wrap="square" anchor="ctr" anchorCtr="1"/>
          <a:lstStyle/>
          <a:p>
            <a:pPr algn="ctr">
              <a:defRPr lang="en-US" sz="900" b="1" i="0" u="none" strike="noStrike" kern="1200" baseline="0">
                <a:solidFill>
                  <a:schemeClr val="tx1">
                    <a:lumMod val="65000"/>
                    <a:lumOff val="35000"/>
                  </a:schemeClr>
                </a:solidFill>
                <a:latin typeface="+mn-lt"/>
                <a:ea typeface="+mn-ea"/>
                <a:cs typeface="+mn-cs"/>
              </a:defRPr>
            </a:pPr>
            <a:endParaRPr lang="en-US"/>
          </a:p>
        </c:txPr>
        <c:crossAx val="1672740368"/>
        <c:crosses val="autoZero"/>
        <c:auto val="1"/>
        <c:lblAlgn val="r"/>
        <c:lblOffset val="100"/>
        <c:noMultiLvlLbl val="0"/>
      </c:catAx>
      <c:valAx>
        <c:axId val="1672740368"/>
        <c:scaling>
          <c:orientation val="minMax"/>
          <c:min val="1.0000000000000002E-2"/>
        </c:scaling>
        <c:delete val="1"/>
        <c:axPos val="b"/>
        <c:numFmt formatCode="General" sourceLinked="1"/>
        <c:majorTickMark val="none"/>
        <c:minorTickMark val="none"/>
        <c:tickLblPos val="nextTo"/>
        <c:crossAx val="1672736528"/>
        <c:crosses val="autoZero"/>
        <c:crossBetween val="between"/>
        <c:majorUnit val="1.01"/>
        <c:minorUnit val="2.0000000000000004E-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Room.xlsm]Sheet1!PivotTable17</c:name>
    <c:fmtId val="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000" b="0" i="1" u="none" strike="noStrike" kern="1200" spc="0" baseline="0">
                <a:solidFill>
                  <a:schemeClr val="dk1"/>
                </a:solidFill>
                <a:effectLst/>
                <a:latin typeface="+mn-lt"/>
                <a:ea typeface="+mn-ea"/>
                <a:cs typeface="+mn-cs"/>
              </a:defRPr>
            </a:pPr>
            <a:r>
              <a:rPr lang="en-US" sz="1000" b="0" i="1" u="none" strike="noStrike" kern="1200" spc="0" baseline="0">
                <a:solidFill>
                  <a:schemeClr val="dk1"/>
                </a:solidFill>
                <a:effectLst/>
                <a:latin typeface="+mn-lt"/>
                <a:ea typeface="+mn-ea"/>
                <a:cs typeface="+mn-cs"/>
              </a:rPr>
              <a:t>Admission Status</a:t>
            </a:r>
          </a:p>
        </c:rich>
      </c:tx>
      <c:layout>
        <c:manualLayout>
          <c:xMode val="edge"/>
          <c:yMode val="edge"/>
          <c:x val="3.198004145247426E-2"/>
          <c:y val="4.509689151813839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000" b="0" i="1" u="none" strike="noStrike" kern="1200" spc="0" baseline="0">
              <a:solidFill>
                <a:schemeClr val="dk1"/>
              </a:solidFill>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5400000" spcFirstLastPara="1" vertOverflow="ellipsis"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0.12940937432835403"/>
          <c:y val="0.22110341282859278"/>
          <c:w val="0.44869769676071369"/>
          <c:h val="0.65894481211073785"/>
        </c:manualLayout>
      </c:layout>
      <c:doughnutChart>
        <c:varyColors val="1"/>
        <c:ser>
          <c:idx val="0"/>
          <c:order val="0"/>
          <c:tx>
            <c:strRef>
              <c:f>Sheet1!$P$4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1DF-481F-B4D0-58184A07C18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1DF-481F-B4D0-58184A07C189}"/>
              </c:ext>
            </c:extLst>
          </c:dPt>
          <c:dLbls>
            <c:spPr>
              <a:noFill/>
              <a:ln>
                <a:noFill/>
              </a:ln>
              <a:effectLst/>
            </c:spPr>
            <c:txPr>
              <a:bodyPr rot="-5400000" spcFirstLastPara="1" vertOverflow="ellipsis"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Sheet1!$O$5:$O$7</c:f>
              <c:strCache>
                <c:ptCount val="2"/>
                <c:pt idx="0">
                  <c:v>Admitted</c:v>
                </c:pt>
                <c:pt idx="1">
                  <c:v>Not Admitted</c:v>
                </c:pt>
              </c:strCache>
            </c:strRef>
          </c:cat>
          <c:val>
            <c:numRef>
              <c:f>Sheet1!$P$5:$P$7</c:f>
              <c:numCache>
                <c:formatCode>General</c:formatCode>
                <c:ptCount val="2"/>
                <c:pt idx="0">
                  <c:v>4612</c:v>
                </c:pt>
                <c:pt idx="1">
                  <c:v>4604</c:v>
                </c:pt>
              </c:numCache>
            </c:numRef>
          </c:val>
          <c:extLst>
            <c:ext xmlns:c16="http://schemas.microsoft.com/office/drawing/2014/chart" uri="{C3380CC4-5D6E-409C-BE32-E72D297353CC}">
              <c16:uniqueId val="{00000005-D567-43A8-BBD8-4279E6F07ACD}"/>
            </c:ext>
          </c:extLst>
        </c:ser>
        <c:dLbls>
          <c:showLegendKey val="0"/>
          <c:showVal val="1"/>
          <c:showCatName val="0"/>
          <c:showSerName val="0"/>
          <c:showPercent val="0"/>
          <c:showBubbleSize val="0"/>
          <c:showLeaderLines val="1"/>
        </c:dLbls>
        <c:firstSliceAng val="0"/>
        <c:holeSize val="53"/>
      </c:doughnutChart>
      <c:spPr>
        <a:noFill/>
        <a:ln>
          <a:noFill/>
        </a:ln>
        <a:effectLst>
          <a:outerShdw blurRad="50800" dist="50800" dir="5400000" sx="1000" sy="1000" algn="ctr" rotWithShape="0">
            <a:srgbClr val="000000">
              <a:alpha val="43137"/>
            </a:srgbClr>
          </a:outerShdw>
        </a:effectLst>
      </c:spPr>
    </c:plotArea>
    <c:legend>
      <c:legendPos val="r"/>
      <c:layout>
        <c:manualLayout>
          <c:xMode val="edge"/>
          <c:yMode val="edge"/>
          <c:x val="0.66012117703975604"/>
          <c:y val="0.68421253828323314"/>
          <c:w val="0.28820807037377727"/>
          <c:h val="0.21538845721735445"/>
        </c:manualLayout>
      </c:layout>
      <c:overlay val="0"/>
      <c:spPr>
        <a:noFill/>
        <a:ln>
          <a:noFill/>
        </a:ln>
        <a:effectLst/>
      </c:spPr>
      <c:txPr>
        <a:bodyPr rot="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Room.xlsm]Sheet1!PivotTable5</c:name>
    <c:fmtId val="2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IN" sz="1000" b="0" i="1" u="none" strike="noStrike" kern="1200" spc="0" baseline="0">
                <a:solidFill>
                  <a:schemeClr val="dk1"/>
                </a:solidFill>
                <a:effectLst/>
                <a:latin typeface="+mn-lt"/>
                <a:ea typeface="+mn-ea"/>
                <a:cs typeface="+mn-cs"/>
              </a:defRPr>
            </a:pPr>
            <a:r>
              <a:rPr lang="en-IN" sz="1000" b="0" i="1" u="none" strike="noStrike" kern="1200" spc="0" baseline="0">
                <a:solidFill>
                  <a:schemeClr val="dk1"/>
                </a:solidFill>
                <a:effectLst/>
                <a:latin typeface="+mn-lt"/>
                <a:ea typeface="+mn-ea"/>
                <a:cs typeface="+mn-cs"/>
              </a:rPr>
              <a:t>Age Range</a:t>
            </a:r>
          </a:p>
        </c:rich>
      </c:tx>
      <c:layout>
        <c:manualLayout>
          <c:xMode val="edge"/>
          <c:yMode val="edge"/>
          <c:x val="1.4803820132330921E-2"/>
          <c:y val="1.6176468715091628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IN" sz="1000" b="0" i="1" u="none" strike="noStrike" kern="1200" spc="0" baseline="0">
              <a:solidFill>
                <a:schemeClr val="dk1"/>
              </a:solidFill>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solidFill>
              <a:sysClr val="windowText" lastClr="000000"/>
            </a:solidFill>
          </a:ln>
          <a:effectLst>
            <a:glow rad="63500">
              <a:schemeClr val="accent3">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Sheet1!$J$12</c:f>
              <c:strCache>
                <c:ptCount val="1"/>
                <c:pt idx="0">
                  <c:v>Total</c:v>
                </c:pt>
              </c:strCache>
            </c:strRef>
          </c:tx>
          <c:spPr>
            <a:solidFill>
              <a:schemeClr val="accent2">
                <a:lumMod val="60000"/>
                <a:lumOff val="40000"/>
              </a:schemeClr>
            </a:solidFill>
            <a:ln>
              <a:solidFill>
                <a:sysClr val="windowText" lastClr="000000"/>
              </a:solidFill>
            </a:ln>
            <a:effectLst>
              <a:glow rad="63500">
                <a:schemeClr val="accent3">
                  <a:satMod val="175000"/>
                  <a:alpha val="40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Sheet1!$I$13:$I$17</c:f>
              <c:strCache>
                <c:ptCount val="4"/>
                <c:pt idx="0">
                  <c:v>0-20</c:v>
                </c:pt>
                <c:pt idx="1">
                  <c:v>21-40</c:v>
                </c:pt>
                <c:pt idx="2">
                  <c:v>41-60</c:v>
                </c:pt>
                <c:pt idx="3">
                  <c:v>61-80</c:v>
                </c:pt>
              </c:strCache>
            </c:strRef>
          </c:cat>
          <c:val>
            <c:numRef>
              <c:f>Sheet1!$J$13:$J$17</c:f>
              <c:numCache>
                <c:formatCode>General</c:formatCode>
                <c:ptCount val="4"/>
                <c:pt idx="0">
                  <c:v>237</c:v>
                </c:pt>
                <c:pt idx="1">
                  <c:v>237</c:v>
                </c:pt>
                <c:pt idx="2">
                  <c:v>248</c:v>
                </c:pt>
                <c:pt idx="3">
                  <c:v>242</c:v>
                </c:pt>
              </c:numCache>
            </c:numRef>
          </c:val>
          <c:extLst>
            <c:ext xmlns:c16="http://schemas.microsoft.com/office/drawing/2014/chart" uri="{C3380CC4-5D6E-409C-BE32-E72D297353CC}">
              <c16:uniqueId val="{00000000-B061-4293-A238-18A257175D7C}"/>
            </c:ext>
          </c:extLst>
        </c:ser>
        <c:dLbls>
          <c:dLblPos val="outEnd"/>
          <c:showLegendKey val="0"/>
          <c:showVal val="1"/>
          <c:showCatName val="0"/>
          <c:showSerName val="0"/>
          <c:showPercent val="0"/>
          <c:showBubbleSize val="0"/>
        </c:dLbls>
        <c:gapWidth val="385"/>
        <c:overlap val="-7"/>
        <c:axId val="585071792"/>
        <c:axId val="585072272"/>
      </c:barChart>
      <c:catAx>
        <c:axId val="585071792"/>
        <c:scaling>
          <c:orientation val="minMax"/>
        </c:scaling>
        <c:delete val="0"/>
        <c:axPos val="b"/>
        <c:numFmt formatCode="General" sourceLinked="1"/>
        <c:majorTickMark val="out"/>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85072272"/>
        <c:crosses val="autoZero"/>
        <c:auto val="1"/>
        <c:lblAlgn val="ctr"/>
        <c:lblOffset val="100"/>
        <c:noMultiLvlLbl val="0"/>
      </c:catAx>
      <c:valAx>
        <c:axId val="585072272"/>
        <c:scaling>
          <c:orientation val="minMax"/>
        </c:scaling>
        <c:delete val="1"/>
        <c:axPos val="l"/>
        <c:numFmt formatCode="General" sourceLinked="1"/>
        <c:majorTickMark val="out"/>
        <c:minorTickMark val="none"/>
        <c:tickLblPos val="nextTo"/>
        <c:crossAx val="585071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chart" Target="../charts/chart4.xml"/><Relationship Id="rId18" Type="http://schemas.openxmlformats.org/officeDocument/2006/relationships/image" Target="../media/image14.svg"/><Relationship Id="rId3" Type="http://schemas.openxmlformats.org/officeDocument/2006/relationships/chart" Target="../charts/chart2.xml"/><Relationship Id="rId7" Type="http://schemas.openxmlformats.org/officeDocument/2006/relationships/image" Target="../media/image5.svg"/><Relationship Id="rId12" Type="http://schemas.openxmlformats.org/officeDocument/2006/relationships/chart" Target="../charts/chart3.xml"/><Relationship Id="rId17" Type="http://schemas.openxmlformats.org/officeDocument/2006/relationships/image" Target="../media/image13.png"/><Relationship Id="rId2" Type="http://schemas.openxmlformats.org/officeDocument/2006/relationships/image" Target="../media/image1.png"/><Relationship Id="rId16" Type="http://schemas.openxmlformats.org/officeDocument/2006/relationships/image" Target="../media/image12.svg"/><Relationship Id="rId20" Type="http://schemas.openxmlformats.org/officeDocument/2006/relationships/image" Target="../media/image16.svg"/><Relationship Id="rId1" Type="http://schemas.openxmlformats.org/officeDocument/2006/relationships/chart" Target="../charts/chart1.xml"/><Relationship Id="rId6" Type="http://schemas.openxmlformats.org/officeDocument/2006/relationships/image" Target="../media/image4.png"/><Relationship Id="rId11" Type="http://schemas.openxmlformats.org/officeDocument/2006/relationships/image" Target="../media/image9.svg"/><Relationship Id="rId5" Type="http://schemas.openxmlformats.org/officeDocument/2006/relationships/image" Target="../media/image3.svg"/><Relationship Id="rId15" Type="http://schemas.openxmlformats.org/officeDocument/2006/relationships/image" Target="../media/image11.png"/><Relationship Id="rId10" Type="http://schemas.openxmlformats.org/officeDocument/2006/relationships/image" Target="../media/image8.png"/><Relationship Id="rId19" Type="http://schemas.openxmlformats.org/officeDocument/2006/relationships/image" Target="../media/image15.pn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68580</xdr:colOff>
      <xdr:row>0</xdr:row>
      <xdr:rowOff>60960</xdr:rowOff>
    </xdr:from>
    <xdr:to>
      <xdr:col>1</xdr:col>
      <xdr:colOff>495300</xdr:colOff>
      <xdr:row>8</xdr:row>
      <xdr:rowOff>137160</xdr:rowOff>
    </xdr:to>
    <mc:AlternateContent xmlns:mc="http://schemas.openxmlformats.org/markup-compatibility/2006" xmlns:a14="http://schemas.microsoft.com/office/drawing/2010/main">
      <mc:Choice Requires="a14">
        <xdr:graphicFrame macro="">
          <xdr:nvGraphicFramePr>
            <xdr:cNvPr id="13" name="Patient Admission Date (Year)">
              <a:extLst>
                <a:ext uri="{FF2B5EF4-FFF2-40B4-BE49-F238E27FC236}">
                  <a16:creationId xmlns:a16="http://schemas.microsoft.com/office/drawing/2014/main" id="{1984E2E2-3558-4AD4-89B5-57029AC67E5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atient Admission Date (Year)"/>
            </a:graphicData>
          </a:graphic>
        </xdr:graphicFrame>
      </mc:Choice>
      <mc:Fallback xmlns="">
        <xdr:sp macro="" textlink="">
          <xdr:nvSpPr>
            <xdr:cNvPr id="0" name=""/>
            <xdr:cNvSpPr>
              <a:spLocks noTextEdit="1"/>
            </xdr:cNvSpPr>
          </xdr:nvSpPr>
          <xdr:spPr>
            <a:xfrm>
              <a:off x="68580" y="60960"/>
              <a:ext cx="1036320" cy="1539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9</xdr:row>
      <xdr:rowOff>30480</xdr:rowOff>
    </xdr:from>
    <xdr:to>
      <xdr:col>3</xdr:col>
      <xdr:colOff>15240</xdr:colOff>
      <xdr:row>19</xdr:row>
      <xdr:rowOff>152400</xdr:rowOff>
    </xdr:to>
    <mc:AlternateContent xmlns:mc="http://schemas.openxmlformats.org/markup-compatibility/2006" xmlns:a14="http://schemas.microsoft.com/office/drawing/2010/main">
      <mc:Choice Requires="a14">
        <xdr:graphicFrame macro="">
          <xdr:nvGraphicFramePr>
            <xdr:cNvPr id="14" name="Patient Admission Date (Month)">
              <a:extLst>
                <a:ext uri="{FF2B5EF4-FFF2-40B4-BE49-F238E27FC236}">
                  <a16:creationId xmlns:a16="http://schemas.microsoft.com/office/drawing/2014/main" id="{29E3BA9B-D2A9-4F8A-994A-70EB45F1B074}"/>
                </a:ext>
              </a:extLst>
            </xdr:cNvPr>
            <xdr:cNvGraphicFramePr/>
          </xdr:nvGraphicFramePr>
          <xdr:xfrm>
            <a:off x="0" y="0"/>
            <a:ext cx="0" cy="0"/>
          </xdr:xfrm>
          <a:graphic>
            <a:graphicData uri="http://schemas.microsoft.com/office/drawing/2010/slicer">
              <sle:slicer xmlns:sle="http://schemas.microsoft.com/office/drawing/2010/slicer" name="Patient Admission Date (Month)"/>
            </a:graphicData>
          </a:graphic>
        </xdr:graphicFrame>
      </mc:Choice>
      <mc:Fallback xmlns="">
        <xdr:sp macro="" textlink="">
          <xdr:nvSpPr>
            <xdr:cNvPr id="0" name=""/>
            <xdr:cNvSpPr>
              <a:spLocks noTextEdit="1"/>
            </xdr:cNvSpPr>
          </xdr:nvSpPr>
          <xdr:spPr>
            <a:xfrm>
              <a:off x="0" y="1676400"/>
              <a:ext cx="1844040" cy="1950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348260</xdr:colOff>
      <xdr:row>4</xdr:row>
      <xdr:rowOff>37175</xdr:rowOff>
    </xdr:from>
    <xdr:to>
      <xdr:col>11</xdr:col>
      <xdr:colOff>386360</xdr:colOff>
      <xdr:row>18</xdr:row>
      <xdr:rowOff>23091</xdr:rowOff>
    </xdr:to>
    <xdr:graphicFrame macro="">
      <xdr:nvGraphicFramePr>
        <xdr:cNvPr id="23" name="Chart 22">
          <a:extLst>
            <a:ext uri="{FF2B5EF4-FFF2-40B4-BE49-F238E27FC236}">
              <a16:creationId xmlns:a16="http://schemas.microsoft.com/office/drawing/2014/main" id="{C356594A-6190-4F63-8596-DEB15B1BC3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49412</xdr:colOff>
      <xdr:row>7</xdr:row>
      <xdr:rowOff>53010</xdr:rowOff>
    </xdr:from>
    <xdr:to>
      <xdr:col>5</xdr:col>
      <xdr:colOff>311425</xdr:colOff>
      <xdr:row>14</xdr:row>
      <xdr:rowOff>172278</xdr:rowOff>
    </xdr:to>
    <xdr:grpSp>
      <xdr:nvGrpSpPr>
        <xdr:cNvPr id="121" name="Group 120">
          <a:extLst>
            <a:ext uri="{FF2B5EF4-FFF2-40B4-BE49-F238E27FC236}">
              <a16:creationId xmlns:a16="http://schemas.microsoft.com/office/drawing/2014/main" id="{0DEAF6E3-8CF6-C6C0-EDAF-9E24FFF8E190}"/>
            </a:ext>
          </a:extLst>
        </xdr:cNvPr>
        <xdr:cNvGrpSpPr/>
      </xdr:nvGrpSpPr>
      <xdr:grpSpPr>
        <a:xfrm>
          <a:off x="1268612" y="1324964"/>
          <a:ext cx="1563275" cy="1391222"/>
          <a:chOff x="89169" y="1179445"/>
          <a:chExt cx="1567352" cy="1417981"/>
        </a:xfrm>
        <a:gradFill>
          <a:gsLst>
            <a:gs pos="2000">
              <a:srgbClr val="F9D0B5"/>
            </a:gs>
            <a:gs pos="0">
              <a:srgbClr val="F9D5BC"/>
            </a:gs>
            <a:gs pos="0">
              <a:schemeClr val="accent2"/>
            </a:gs>
            <a:gs pos="4000">
              <a:schemeClr val="accent2">
                <a:lumMod val="40000"/>
                <a:lumOff val="60000"/>
              </a:schemeClr>
            </a:gs>
            <a:gs pos="14000">
              <a:schemeClr val="accent2">
                <a:lumMod val="40000"/>
                <a:lumOff val="60000"/>
              </a:schemeClr>
            </a:gs>
            <a:gs pos="3000">
              <a:schemeClr val="accent2">
                <a:lumMod val="30000"/>
                <a:lumOff val="70000"/>
              </a:schemeClr>
            </a:gs>
          </a:gsLst>
          <a:lin ang="5400000" scaled="1"/>
        </a:gradFill>
      </xdr:grpSpPr>
      <xdr:grpSp>
        <xdr:nvGrpSpPr>
          <xdr:cNvPr id="119" name="Group 118">
            <a:extLst>
              <a:ext uri="{FF2B5EF4-FFF2-40B4-BE49-F238E27FC236}">
                <a16:creationId xmlns:a16="http://schemas.microsoft.com/office/drawing/2014/main" id="{DB8856E7-CE86-CC59-3F93-B1AAE4FEF283}"/>
              </a:ext>
            </a:extLst>
          </xdr:cNvPr>
          <xdr:cNvGrpSpPr/>
        </xdr:nvGrpSpPr>
        <xdr:grpSpPr>
          <a:xfrm>
            <a:off x="89169" y="1179445"/>
            <a:ext cx="1567352" cy="1417981"/>
            <a:chOff x="46780" y="1755265"/>
            <a:chExt cx="2190203" cy="1557129"/>
          </a:xfrm>
          <a:grpFill/>
        </xdr:grpSpPr>
        <xdr:sp macro="" textlink="">
          <xdr:nvSpPr>
            <xdr:cNvPr id="33" name="Rectangle: Rounded Corners 32">
              <a:extLst>
                <a:ext uri="{FF2B5EF4-FFF2-40B4-BE49-F238E27FC236}">
                  <a16:creationId xmlns:a16="http://schemas.microsoft.com/office/drawing/2014/main" id="{FC3762E2-94AA-2C4D-19DA-323302F32E8D}"/>
                </a:ext>
              </a:extLst>
            </xdr:cNvPr>
            <xdr:cNvSpPr/>
          </xdr:nvSpPr>
          <xdr:spPr>
            <a:xfrm>
              <a:off x="46780" y="1755265"/>
              <a:ext cx="2190203" cy="1557129"/>
            </a:xfrm>
            <a:prstGeom prst="roundRect">
              <a:avLst/>
            </a:prstGeom>
            <a:gradFill flip="none" rotWithShape="1">
              <a:gsLst>
                <a:gs pos="96000">
                  <a:schemeClr val="accent4">
                    <a:lumMod val="20000"/>
                    <a:lumOff val="80000"/>
                  </a:schemeClr>
                </a:gs>
                <a:gs pos="37692">
                  <a:schemeClr val="accent4">
                    <a:lumMod val="20000"/>
                    <a:lumOff val="80000"/>
                  </a:schemeClr>
                </a:gs>
                <a:gs pos="15385">
                  <a:schemeClr val="accent4">
                    <a:lumMod val="20000"/>
                    <a:lumOff val="80000"/>
                  </a:schemeClr>
                </a:gs>
                <a:gs pos="24000">
                  <a:schemeClr val="accent4">
                    <a:lumMod val="20000"/>
                    <a:lumOff val="80000"/>
                  </a:schemeClr>
                </a:gs>
                <a:gs pos="86000">
                  <a:schemeClr val="accent2">
                    <a:lumMod val="40000"/>
                    <a:lumOff val="60000"/>
                  </a:schemeClr>
                </a:gs>
                <a:gs pos="100000">
                  <a:schemeClr val="accent2">
                    <a:lumMod val="40000"/>
                    <a:lumOff val="60000"/>
                  </a:schemeClr>
                </a:gs>
              </a:gsLst>
              <a:path path="rect">
                <a:fillToRect l="100000" t="100000"/>
              </a:path>
              <a:tileRect r="-100000" b="-100000"/>
            </a:gra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IN" sz="900" b="1">
                  <a:solidFill>
                    <a:schemeClr val="tx1"/>
                  </a:solidFill>
                  <a:latin typeface="Bell MT" panose="02020503060305020303" pitchFamily="18" charset="0"/>
                  <a:ea typeface="+mn-ea"/>
                  <a:cs typeface="+mn-cs"/>
                </a:rPr>
                <a:t> MONTH</a:t>
              </a:r>
            </a:p>
          </xdr:txBody>
        </xdr:sp>
        <xdr:sp macro="[0]!Oct" textlink="">
          <xdr:nvSpPr>
            <xdr:cNvPr id="62" name="Rectangle: Rounded Corners 61">
              <a:extLst>
                <a:ext uri="{FF2B5EF4-FFF2-40B4-BE49-F238E27FC236}">
                  <a16:creationId xmlns:a16="http://schemas.microsoft.com/office/drawing/2014/main" id="{7F6A7CEC-2102-0FA6-53E7-786BB6F5BE90}"/>
                </a:ext>
              </a:extLst>
            </xdr:cNvPr>
            <xdr:cNvSpPr/>
          </xdr:nvSpPr>
          <xdr:spPr>
            <a:xfrm>
              <a:off x="97892" y="2882547"/>
              <a:ext cx="677360" cy="165453"/>
            </a:xfrm>
            <a:prstGeom prst="roundRect">
              <a:avLst>
                <a:gd name="adj" fmla="val 49204"/>
              </a:avLst>
            </a:prstGeom>
            <a:grpFill/>
            <a:ln>
              <a:solidFill>
                <a:schemeClr val="accent2">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solidFill>
                    <a:schemeClr val="tx1"/>
                  </a:solidFill>
                </a:rPr>
                <a:t>OCT</a:t>
              </a:r>
            </a:p>
          </xdr:txBody>
        </xdr:sp>
        <xdr:sp macro="[0]!Jan" textlink="">
          <xdr:nvSpPr>
            <xdr:cNvPr id="34" name="Rectangle: Rounded Corners 33">
              <a:extLst>
                <a:ext uri="{FF2B5EF4-FFF2-40B4-BE49-F238E27FC236}">
                  <a16:creationId xmlns:a16="http://schemas.microsoft.com/office/drawing/2014/main" id="{DE6B31B4-1804-D645-43A3-4367A5030F93}"/>
                </a:ext>
              </a:extLst>
            </xdr:cNvPr>
            <xdr:cNvSpPr/>
          </xdr:nvSpPr>
          <xdr:spPr>
            <a:xfrm>
              <a:off x="113903" y="2133600"/>
              <a:ext cx="634845" cy="172281"/>
            </a:xfrm>
            <a:prstGeom prst="roundRect">
              <a:avLst>
                <a:gd name="adj" fmla="val 44656"/>
              </a:avLst>
            </a:prstGeom>
            <a:grpFill/>
            <a:ln>
              <a:solidFill>
                <a:schemeClr val="accent2">
                  <a:lumMod val="75000"/>
                </a:schemeClr>
              </a:solidFill>
            </a:ln>
            <a:effectLst>
              <a:innerShdw blurRad="63500" dist="50800" dir="13500000">
                <a:schemeClr val="bg1">
                  <a:lumMod val="65000"/>
                  <a:alpha val="50000"/>
                </a:scheme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solidFill>
                    <a:schemeClr val="tx1"/>
                  </a:solidFill>
                </a:rPr>
                <a:t>JAN</a:t>
              </a:r>
            </a:p>
          </xdr:txBody>
        </xdr:sp>
        <xdr:sp macro="[0]!Feb" textlink="">
          <xdr:nvSpPr>
            <xdr:cNvPr id="35" name="Rectangle: Rounded Corners 34">
              <a:extLst>
                <a:ext uri="{FF2B5EF4-FFF2-40B4-BE49-F238E27FC236}">
                  <a16:creationId xmlns:a16="http://schemas.microsoft.com/office/drawing/2014/main" id="{A77C0568-BFE5-4DFC-BF8D-9992A026969A}"/>
                </a:ext>
              </a:extLst>
            </xdr:cNvPr>
            <xdr:cNvSpPr/>
          </xdr:nvSpPr>
          <xdr:spPr>
            <a:xfrm>
              <a:off x="796448" y="2126974"/>
              <a:ext cx="727551" cy="172281"/>
            </a:xfrm>
            <a:prstGeom prst="roundRect">
              <a:avLst>
                <a:gd name="adj" fmla="val 50000"/>
              </a:avLst>
            </a:prstGeom>
            <a:grpFill/>
            <a:ln>
              <a:solidFill>
                <a:schemeClr val="accent2">
                  <a:lumMod val="75000"/>
                </a:schemeClr>
              </a:solidFill>
            </a:ln>
            <a:effectLst>
              <a:innerShdw blurRad="63500" dist="50800" dir="13500000">
                <a:schemeClr val="bg1">
                  <a:lumMod val="65000"/>
                  <a:alpha val="50000"/>
                </a:scheme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800">
                  <a:solidFill>
                    <a:schemeClr val="tx1"/>
                  </a:solidFill>
                  <a:latin typeface="+mn-lt"/>
                  <a:ea typeface="+mn-ea"/>
                  <a:cs typeface="+mn-cs"/>
                </a:rPr>
                <a:t>FEB</a:t>
              </a:r>
            </a:p>
          </xdr:txBody>
        </xdr:sp>
        <xdr:sp macro="[0]!Mar" textlink="">
          <xdr:nvSpPr>
            <xdr:cNvPr id="36" name="Rectangle: Rounded Corners 35">
              <a:extLst>
                <a:ext uri="{FF2B5EF4-FFF2-40B4-BE49-F238E27FC236}">
                  <a16:creationId xmlns:a16="http://schemas.microsoft.com/office/drawing/2014/main" id="{2BE0D89A-02F4-4EDA-9826-B1679CFB0B4F}"/>
                </a:ext>
              </a:extLst>
            </xdr:cNvPr>
            <xdr:cNvSpPr/>
          </xdr:nvSpPr>
          <xdr:spPr>
            <a:xfrm>
              <a:off x="1551823" y="2120348"/>
              <a:ext cx="621533" cy="159029"/>
            </a:xfrm>
            <a:prstGeom prst="roundRect">
              <a:avLst>
                <a:gd name="adj" fmla="val 42748"/>
              </a:avLst>
            </a:prstGeom>
            <a:grpFill/>
            <a:ln>
              <a:solidFill>
                <a:schemeClr val="accent2">
                  <a:lumMod val="75000"/>
                </a:schemeClr>
              </a:solidFill>
            </a:ln>
            <a:effectLst>
              <a:innerShdw blurRad="63500" dist="50800" dir="13500000">
                <a:schemeClr val="bg1">
                  <a:lumMod val="65000"/>
                  <a:alpha val="50000"/>
                </a:scheme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solidFill>
                    <a:schemeClr val="tx1"/>
                  </a:solidFill>
                  <a:latin typeface="+mn-lt"/>
                  <a:ea typeface="+mn-ea"/>
                  <a:cs typeface="+mn-cs"/>
                </a:rPr>
                <a:t>MAR</a:t>
              </a:r>
            </a:p>
          </xdr:txBody>
        </xdr:sp>
        <xdr:sp macro="[0]!Apr" textlink="">
          <xdr:nvSpPr>
            <xdr:cNvPr id="37" name="Rectangle: Rounded Corners 36">
              <a:extLst>
                <a:ext uri="{FF2B5EF4-FFF2-40B4-BE49-F238E27FC236}">
                  <a16:creationId xmlns:a16="http://schemas.microsoft.com/office/drawing/2014/main" id="{FDDD77ED-E333-4F8E-943C-DCF6734B1F06}"/>
                </a:ext>
              </a:extLst>
            </xdr:cNvPr>
            <xdr:cNvSpPr/>
          </xdr:nvSpPr>
          <xdr:spPr>
            <a:xfrm>
              <a:off x="94083" y="2398645"/>
              <a:ext cx="654665" cy="172280"/>
            </a:xfrm>
            <a:prstGeom prst="roundRect">
              <a:avLst>
                <a:gd name="adj" fmla="val 47614"/>
              </a:avLst>
            </a:prstGeom>
            <a:grpFill/>
            <a:ln>
              <a:solidFill>
                <a:schemeClr val="accent2">
                  <a:lumMod val="75000"/>
                </a:schemeClr>
              </a:solidFill>
            </a:ln>
            <a:effectLst>
              <a:innerShdw blurRad="63500" dist="50800" dir="13500000">
                <a:schemeClr val="bg1">
                  <a:lumMod val="65000"/>
                  <a:alpha val="50000"/>
                </a:scheme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solidFill>
                    <a:schemeClr val="tx1"/>
                  </a:solidFill>
                </a:rPr>
                <a:t>APR</a:t>
              </a:r>
            </a:p>
          </xdr:txBody>
        </xdr:sp>
        <xdr:sp macro="[0]!May" textlink="">
          <xdr:nvSpPr>
            <xdr:cNvPr id="38" name="Rectangle: Rounded Corners 37">
              <a:extLst>
                <a:ext uri="{FF2B5EF4-FFF2-40B4-BE49-F238E27FC236}">
                  <a16:creationId xmlns:a16="http://schemas.microsoft.com/office/drawing/2014/main" id="{33EA1BA0-8AA5-47CF-80AD-A1BA608D94F9}"/>
                </a:ext>
              </a:extLst>
            </xdr:cNvPr>
            <xdr:cNvSpPr/>
          </xdr:nvSpPr>
          <xdr:spPr>
            <a:xfrm>
              <a:off x="796448" y="2405270"/>
              <a:ext cx="709056" cy="159025"/>
            </a:xfrm>
            <a:prstGeom prst="roundRect">
              <a:avLst>
                <a:gd name="adj" fmla="val 49205"/>
              </a:avLst>
            </a:prstGeom>
            <a:grpFill/>
            <a:ln>
              <a:solidFill>
                <a:schemeClr val="accent2">
                  <a:lumMod val="75000"/>
                </a:schemeClr>
              </a:solidFill>
            </a:ln>
            <a:effectLst>
              <a:innerShdw blurRad="63500" dist="50800" dir="13500000">
                <a:schemeClr val="bg1">
                  <a:lumMod val="65000"/>
                  <a:alpha val="50000"/>
                </a:scheme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solidFill>
                    <a:schemeClr val="tx1"/>
                  </a:solidFill>
                </a:rPr>
                <a:t>MAY</a:t>
              </a:r>
            </a:p>
          </xdr:txBody>
        </xdr:sp>
        <xdr:sp macro="[0]!Jun" textlink="">
          <xdr:nvSpPr>
            <xdr:cNvPr id="39" name="Rectangle: Rounded Corners 38">
              <a:extLst>
                <a:ext uri="{FF2B5EF4-FFF2-40B4-BE49-F238E27FC236}">
                  <a16:creationId xmlns:a16="http://schemas.microsoft.com/office/drawing/2014/main" id="{6318F915-4611-4B22-8CE3-112697713483}"/>
                </a:ext>
              </a:extLst>
            </xdr:cNvPr>
            <xdr:cNvSpPr/>
          </xdr:nvSpPr>
          <xdr:spPr>
            <a:xfrm>
              <a:off x="1558448" y="2392017"/>
              <a:ext cx="621535" cy="172281"/>
            </a:xfrm>
            <a:prstGeom prst="roundRect">
              <a:avLst>
                <a:gd name="adj" fmla="val 49205"/>
              </a:avLst>
            </a:prstGeom>
            <a:grpFill/>
            <a:ln>
              <a:solidFill>
                <a:schemeClr val="accent2">
                  <a:lumMod val="75000"/>
                </a:schemeClr>
              </a:solidFill>
            </a:ln>
            <a:effectLst>
              <a:innerShdw blurRad="63500" dist="50800" dir="13500000">
                <a:schemeClr val="bg1">
                  <a:lumMod val="65000"/>
                  <a:alpha val="50000"/>
                </a:scheme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solidFill>
                    <a:schemeClr val="tx1"/>
                  </a:solidFill>
                </a:rPr>
                <a:t>JUN</a:t>
              </a:r>
            </a:p>
          </xdr:txBody>
        </xdr:sp>
        <xdr:sp macro="[0]!Jul" textlink="">
          <xdr:nvSpPr>
            <xdr:cNvPr id="40" name="Rectangle: Rounded Corners 39">
              <a:extLst>
                <a:ext uri="{FF2B5EF4-FFF2-40B4-BE49-F238E27FC236}">
                  <a16:creationId xmlns:a16="http://schemas.microsoft.com/office/drawing/2014/main" id="{6C6A1053-A82B-49B2-BE31-1155B20E4723}"/>
                </a:ext>
              </a:extLst>
            </xdr:cNvPr>
            <xdr:cNvSpPr/>
          </xdr:nvSpPr>
          <xdr:spPr>
            <a:xfrm>
              <a:off x="91592" y="2655749"/>
              <a:ext cx="663782" cy="147086"/>
            </a:xfrm>
            <a:prstGeom prst="roundRect">
              <a:avLst>
                <a:gd name="adj" fmla="val 50000"/>
              </a:avLst>
            </a:prstGeom>
            <a:grpFill/>
            <a:ln>
              <a:solidFill>
                <a:schemeClr val="accent2">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solidFill>
                    <a:schemeClr val="tx1"/>
                  </a:solidFill>
                </a:rPr>
                <a:t>JUL</a:t>
              </a:r>
            </a:p>
          </xdr:txBody>
        </xdr:sp>
        <xdr:sp macro="[0]!Aug" textlink="">
          <xdr:nvSpPr>
            <xdr:cNvPr id="41" name="Rectangle: Rounded Corners 40">
              <a:extLst>
                <a:ext uri="{FF2B5EF4-FFF2-40B4-BE49-F238E27FC236}">
                  <a16:creationId xmlns:a16="http://schemas.microsoft.com/office/drawing/2014/main" id="{65078F4A-F5E7-4226-952F-E24EE7627E92}"/>
                </a:ext>
              </a:extLst>
            </xdr:cNvPr>
            <xdr:cNvSpPr/>
          </xdr:nvSpPr>
          <xdr:spPr>
            <a:xfrm>
              <a:off x="786795" y="2649119"/>
              <a:ext cx="757083" cy="160342"/>
            </a:xfrm>
            <a:prstGeom prst="roundRect">
              <a:avLst>
                <a:gd name="adj" fmla="val 50000"/>
              </a:avLst>
            </a:prstGeom>
            <a:grpFill/>
            <a:ln>
              <a:solidFill>
                <a:schemeClr val="accent2">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solidFill>
                    <a:schemeClr val="tx1"/>
                  </a:solidFill>
                </a:rPr>
                <a:t>AUG</a:t>
              </a:r>
            </a:p>
          </xdr:txBody>
        </xdr:sp>
        <xdr:sp macro="[0]!Nov" textlink="">
          <xdr:nvSpPr>
            <xdr:cNvPr id="44" name="Rectangle: Rounded Corners 43">
              <a:extLst>
                <a:ext uri="{FF2B5EF4-FFF2-40B4-BE49-F238E27FC236}">
                  <a16:creationId xmlns:a16="http://schemas.microsoft.com/office/drawing/2014/main" id="{E249E999-3BE0-4D7A-AA34-69C53D99D827}"/>
                </a:ext>
              </a:extLst>
            </xdr:cNvPr>
            <xdr:cNvSpPr/>
          </xdr:nvSpPr>
          <xdr:spPr>
            <a:xfrm>
              <a:off x="801105" y="2887947"/>
              <a:ext cx="729522" cy="160053"/>
            </a:xfrm>
            <a:prstGeom prst="roundRect">
              <a:avLst>
                <a:gd name="adj" fmla="val 50000"/>
              </a:avLst>
            </a:prstGeom>
            <a:grpFill/>
            <a:ln>
              <a:solidFill>
                <a:schemeClr val="accent2">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solidFill>
                    <a:schemeClr val="tx1"/>
                  </a:solidFill>
                </a:rPr>
                <a:t>NOV</a:t>
              </a:r>
            </a:p>
          </xdr:txBody>
        </xdr:sp>
        <xdr:sp macro="[0]!Dec" textlink="">
          <xdr:nvSpPr>
            <xdr:cNvPr id="45" name="Rectangle: Rounded Corners 44">
              <a:extLst>
                <a:ext uri="{FF2B5EF4-FFF2-40B4-BE49-F238E27FC236}">
                  <a16:creationId xmlns:a16="http://schemas.microsoft.com/office/drawing/2014/main" id="{C743B4D3-2FD7-4893-836B-248976D3230C}"/>
                </a:ext>
              </a:extLst>
            </xdr:cNvPr>
            <xdr:cNvSpPr/>
          </xdr:nvSpPr>
          <xdr:spPr>
            <a:xfrm>
              <a:off x="1572330" y="2899540"/>
              <a:ext cx="601027" cy="135208"/>
            </a:xfrm>
            <a:prstGeom prst="roundRect">
              <a:avLst>
                <a:gd name="adj" fmla="val 50000"/>
              </a:avLst>
            </a:prstGeom>
            <a:grpFill/>
            <a:ln>
              <a:solidFill>
                <a:schemeClr val="accent2">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solidFill>
                    <a:schemeClr val="tx1"/>
                  </a:solidFill>
                </a:rPr>
                <a:t>DEC</a:t>
              </a:r>
            </a:p>
          </xdr:txBody>
        </xdr:sp>
        <xdr:sp macro="[0]!Sep" textlink="">
          <xdr:nvSpPr>
            <xdr:cNvPr id="61" name="Rectangle: Rounded Corners 60">
              <a:extLst>
                <a:ext uri="{FF2B5EF4-FFF2-40B4-BE49-F238E27FC236}">
                  <a16:creationId xmlns:a16="http://schemas.microsoft.com/office/drawing/2014/main" id="{29C8C331-608B-268F-E3FF-2BE8F1202EDE}"/>
                </a:ext>
              </a:extLst>
            </xdr:cNvPr>
            <xdr:cNvSpPr/>
          </xdr:nvSpPr>
          <xdr:spPr>
            <a:xfrm>
              <a:off x="1576150" y="2634175"/>
              <a:ext cx="603834" cy="148781"/>
            </a:xfrm>
            <a:prstGeom prst="roundRect">
              <a:avLst>
                <a:gd name="adj" fmla="val 50000"/>
              </a:avLst>
            </a:prstGeom>
            <a:grpFill/>
            <a:ln>
              <a:solidFill>
                <a:schemeClr val="accent2">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solidFill>
                    <a:schemeClr val="tx1"/>
                  </a:solidFill>
                </a:rPr>
                <a:t>SEP</a:t>
              </a:r>
            </a:p>
          </xdr:txBody>
        </xdr:sp>
      </xdr:grpSp>
      <xdr:pic macro="[0]!FilterMonth">
        <xdr:nvPicPr>
          <xdr:cNvPr id="54" name="Picture 53">
            <a:extLst>
              <a:ext uri="{FF2B5EF4-FFF2-40B4-BE49-F238E27FC236}">
                <a16:creationId xmlns:a16="http://schemas.microsoft.com/office/drawing/2014/main" id="{562FF97D-24CD-4E4A-A690-092AA078AB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9071" y="1288226"/>
            <a:ext cx="262066" cy="143009"/>
          </a:xfrm>
          <a:prstGeom prst="rect">
            <a:avLst/>
          </a:prstGeom>
          <a:grpFill/>
        </xdr:spPr>
      </xdr:pic>
    </xdr:grpSp>
    <xdr:clientData/>
  </xdr:twoCellAnchor>
  <xdr:twoCellAnchor>
    <xdr:from>
      <xdr:col>11</xdr:col>
      <xdr:colOff>420229</xdr:colOff>
      <xdr:row>15</xdr:row>
      <xdr:rowOff>46893</xdr:rowOff>
    </xdr:from>
    <xdr:to>
      <xdr:col>16</xdr:col>
      <xdr:colOff>177029</xdr:colOff>
      <xdr:row>26</xdr:row>
      <xdr:rowOff>161635</xdr:rowOff>
    </xdr:to>
    <xdr:graphicFrame macro="">
      <xdr:nvGraphicFramePr>
        <xdr:cNvPr id="72" name="Chart 71">
          <a:extLst>
            <a:ext uri="{FF2B5EF4-FFF2-40B4-BE49-F238E27FC236}">
              <a16:creationId xmlns:a16="http://schemas.microsoft.com/office/drawing/2014/main" id="{89BD71A3-B608-4F1F-8085-463BE977E5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60473</xdr:colOff>
      <xdr:row>15</xdr:row>
      <xdr:rowOff>39756</xdr:rowOff>
    </xdr:from>
    <xdr:to>
      <xdr:col>5</xdr:col>
      <xdr:colOff>258418</xdr:colOff>
      <xdr:row>18</xdr:row>
      <xdr:rowOff>52486</xdr:rowOff>
    </xdr:to>
    <xdr:grpSp>
      <xdr:nvGrpSpPr>
        <xdr:cNvPr id="74" name="Group 73">
          <a:extLst>
            <a:ext uri="{FF2B5EF4-FFF2-40B4-BE49-F238E27FC236}">
              <a16:creationId xmlns:a16="http://schemas.microsoft.com/office/drawing/2014/main" id="{11D31768-53BF-DDD5-DF5C-7884313063DB}"/>
            </a:ext>
          </a:extLst>
        </xdr:cNvPr>
        <xdr:cNvGrpSpPr/>
      </xdr:nvGrpSpPr>
      <xdr:grpSpPr>
        <a:xfrm>
          <a:off x="1279673" y="2765371"/>
          <a:ext cx="1499207" cy="557853"/>
          <a:chOff x="7620296" y="0"/>
          <a:chExt cx="1537878" cy="566146"/>
        </a:xfrm>
      </xdr:grpSpPr>
      <xdr:grpSp>
        <xdr:nvGrpSpPr>
          <xdr:cNvPr id="21" name="Group 20">
            <a:extLst>
              <a:ext uri="{FF2B5EF4-FFF2-40B4-BE49-F238E27FC236}">
                <a16:creationId xmlns:a16="http://schemas.microsoft.com/office/drawing/2014/main" id="{96124962-F81F-7A29-1838-65E1391E857F}"/>
              </a:ext>
            </a:extLst>
          </xdr:cNvPr>
          <xdr:cNvGrpSpPr/>
        </xdr:nvGrpSpPr>
        <xdr:grpSpPr>
          <a:xfrm>
            <a:off x="7620296" y="10676"/>
            <a:ext cx="1537878" cy="555470"/>
            <a:chOff x="5751128" y="530898"/>
            <a:chExt cx="1806574" cy="740090"/>
          </a:xfrm>
        </xdr:grpSpPr>
        <xdr:sp macro="" textlink="">
          <xdr:nvSpPr>
            <xdr:cNvPr id="7" name="Rectangle: Rounded Corners 6">
              <a:extLst>
                <a:ext uri="{FF2B5EF4-FFF2-40B4-BE49-F238E27FC236}">
                  <a16:creationId xmlns:a16="http://schemas.microsoft.com/office/drawing/2014/main" id="{DA630DC7-0036-4668-B195-5AFC2C904509}"/>
                </a:ext>
              </a:extLst>
            </xdr:cNvPr>
            <xdr:cNvSpPr/>
          </xdr:nvSpPr>
          <xdr:spPr>
            <a:xfrm>
              <a:off x="5751128" y="530898"/>
              <a:ext cx="1806574" cy="670557"/>
            </a:xfrm>
            <a:prstGeom prst="roundRect">
              <a:avLst/>
            </a:prstGeom>
            <a:gradFill>
              <a:gsLst>
                <a:gs pos="96000">
                  <a:schemeClr val="accent4">
                    <a:lumMod val="20000"/>
                    <a:lumOff val="80000"/>
                  </a:schemeClr>
                </a:gs>
                <a:gs pos="37692">
                  <a:schemeClr val="accent4">
                    <a:lumMod val="20000"/>
                    <a:lumOff val="80000"/>
                  </a:schemeClr>
                </a:gs>
                <a:gs pos="15385">
                  <a:schemeClr val="accent4">
                    <a:lumMod val="20000"/>
                    <a:lumOff val="80000"/>
                  </a:schemeClr>
                </a:gs>
                <a:gs pos="24000">
                  <a:schemeClr val="accent4">
                    <a:lumMod val="20000"/>
                    <a:lumOff val="80000"/>
                  </a:schemeClr>
                </a:gs>
                <a:gs pos="86000">
                  <a:schemeClr val="accent2">
                    <a:lumMod val="40000"/>
                    <a:lumOff val="60000"/>
                  </a:schemeClr>
                </a:gs>
                <a:gs pos="100000">
                  <a:schemeClr val="accent2">
                    <a:lumMod val="40000"/>
                    <a:lumOff val="60000"/>
                  </a:schemeClr>
                </a:gs>
              </a:gsLst>
              <a:path path="rect">
                <a:fillToRect l="100000" t="10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 </a:t>
              </a:r>
            </a:p>
          </xdr:txBody>
        </xdr:sp>
        <xdr:pic>
          <xdr:nvPicPr>
            <xdr:cNvPr id="9" name="Graphic 8" descr="Male profile with solid fill">
              <a:extLst>
                <a:ext uri="{FF2B5EF4-FFF2-40B4-BE49-F238E27FC236}">
                  <a16:creationId xmlns:a16="http://schemas.microsoft.com/office/drawing/2014/main" id="{6A44C3E3-E8DD-7C45-6C21-A5957635F81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540515" y="803848"/>
              <a:ext cx="283628" cy="182764"/>
            </a:xfrm>
            <a:prstGeom prst="rect">
              <a:avLst/>
            </a:prstGeom>
          </xdr:spPr>
        </xdr:pic>
        <xdr:pic>
          <xdr:nvPicPr>
            <xdr:cNvPr id="11" name="Graphic 10" descr="Female Profile with solid fill">
              <a:extLst>
                <a:ext uri="{FF2B5EF4-FFF2-40B4-BE49-F238E27FC236}">
                  <a16:creationId xmlns:a16="http://schemas.microsoft.com/office/drawing/2014/main" id="{CED32B56-F134-AEBF-B708-C1A5E4EFC9D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001129" y="796222"/>
              <a:ext cx="199311" cy="196161"/>
            </a:xfrm>
            <a:prstGeom prst="rect">
              <a:avLst/>
            </a:prstGeom>
          </xdr:spPr>
        </xdr:pic>
        <xdr:sp macro="" textlink="Sheet1!J5">
          <xdr:nvSpPr>
            <xdr:cNvPr id="12" name="TextBox 11">
              <a:extLst>
                <a:ext uri="{FF2B5EF4-FFF2-40B4-BE49-F238E27FC236}">
                  <a16:creationId xmlns:a16="http://schemas.microsoft.com/office/drawing/2014/main" id="{62974B5B-B694-A225-15C0-F838EB122916}"/>
                </a:ext>
              </a:extLst>
            </xdr:cNvPr>
            <xdr:cNvSpPr txBox="1"/>
          </xdr:nvSpPr>
          <xdr:spPr>
            <a:xfrm>
              <a:off x="6879326" y="954704"/>
              <a:ext cx="610924" cy="264308"/>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indent="0"/>
              <a:fld id="{F6A6E8FF-AEC2-4C9F-8552-190ECB8B88E5}" type="TxLink">
                <a:rPr lang="en-US" sz="900" b="0" i="0" u="none" strike="noStrike">
                  <a:solidFill>
                    <a:srgbClr val="000000"/>
                  </a:solidFill>
                  <a:latin typeface="Calibri"/>
                  <a:ea typeface="Calibri"/>
                  <a:cs typeface="Calibri"/>
                </a:rPr>
                <a:pPr marL="0" indent="0"/>
                <a:t>475</a:t>
              </a:fld>
              <a:endParaRPr lang="en-IN" sz="900" b="0" i="0" u="none" strike="noStrike">
                <a:solidFill>
                  <a:srgbClr val="000000"/>
                </a:solidFill>
                <a:latin typeface="Calibri"/>
                <a:ea typeface="Calibri"/>
                <a:cs typeface="Calibri"/>
              </a:endParaRPr>
            </a:p>
          </xdr:txBody>
        </xdr:sp>
        <xdr:sp macro="" textlink="Sheet1!J6">
          <xdr:nvSpPr>
            <xdr:cNvPr id="13" name="TextBox 12">
              <a:extLst>
                <a:ext uri="{FF2B5EF4-FFF2-40B4-BE49-F238E27FC236}">
                  <a16:creationId xmlns:a16="http://schemas.microsoft.com/office/drawing/2014/main" id="{542E816E-4ECF-40F0-A376-5B4191DCCF43}"/>
                </a:ext>
              </a:extLst>
            </xdr:cNvPr>
            <xdr:cNvSpPr txBox="1"/>
          </xdr:nvSpPr>
          <xdr:spPr>
            <a:xfrm>
              <a:off x="6414971" y="963428"/>
              <a:ext cx="597624" cy="30756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indent="0"/>
              <a:fld id="{EF789DCF-6BF8-492C-A389-627576DB792F}" type="TxLink">
                <a:rPr lang="en-US" sz="900" b="0" i="0" u="none" strike="noStrike">
                  <a:solidFill>
                    <a:srgbClr val="000000"/>
                  </a:solidFill>
                  <a:latin typeface="Calibri"/>
                  <a:ea typeface="Calibri"/>
                  <a:cs typeface="Calibri"/>
                </a:rPr>
                <a:pPr marL="0" indent="0"/>
                <a:t>489</a:t>
              </a:fld>
              <a:endParaRPr lang="en-IN" sz="900" b="0" i="0" u="none" strike="noStrike">
                <a:solidFill>
                  <a:srgbClr val="000000"/>
                </a:solidFill>
                <a:latin typeface="Calibri"/>
                <a:ea typeface="Calibri"/>
                <a:cs typeface="Calibri"/>
              </a:endParaRPr>
            </a:p>
          </xdr:txBody>
        </xdr:sp>
        <xdr:pic>
          <xdr:nvPicPr>
            <xdr:cNvPr id="15" name="Graphic 14" descr="Man and woman with solid fill">
              <a:extLst>
                <a:ext uri="{FF2B5EF4-FFF2-40B4-BE49-F238E27FC236}">
                  <a16:creationId xmlns:a16="http://schemas.microsoft.com/office/drawing/2014/main" id="{63811767-AA85-C79D-6064-9F73ADF3D7E9}"/>
                </a:ext>
              </a:extLst>
            </xdr:cNvPr>
            <xdr:cNvPicPr>
              <a:picLocks noChangeAspect="1"/>
            </xdr:cNvPicPr>
          </xdr:nvPicPr>
          <xdr:blipFill rotWithShape="1">
            <a:blip xmlns:r="http://schemas.openxmlformats.org/officeDocument/2006/relationships" r:embed="rId8">
              <a:extLst>
                <a:ext uri="{96DAC541-7B7A-43D3-8B79-37D633B846F1}">
                  <asvg:svgBlip xmlns:asvg="http://schemas.microsoft.com/office/drawing/2016/SVG/main" r:embed="rId9"/>
                </a:ext>
              </a:extLst>
            </a:blip>
            <a:srcRect b="38333"/>
            <a:stretch>
              <a:fillRect/>
            </a:stretch>
          </xdr:blipFill>
          <xdr:spPr>
            <a:xfrm>
              <a:off x="6072643" y="795664"/>
              <a:ext cx="280403" cy="203657"/>
            </a:xfrm>
            <a:prstGeom prst="rect">
              <a:avLst/>
            </a:prstGeom>
          </xdr:spPr>
        </xdr:pic>
        <xdr:sp macro="" textlink="Sheet1!J7">
          <xdr:nvSpPr>
            <xdr:cNvPr id="16" name="TextBox 15">
              <a:extLst>
                <a:ext uri="{FF2B5EF4-FFF2-40B4-BE49-F238E27FC236}">
                  <a16:creationId xmlns:a16="http://schemas.microsoft.com/office/drawing/2014/main" id="{102AC87E-8CE9-4C53-919C-E4C42D4A0C75}"/>
                </a:ext>
              </a:extLst>
            </xdr:cNvPr>
            <xdr:cNvSpPr txBox="1"/>
          </xdr:nvSpPr>
          <xdr:spPr>
            <a:xfrm>
              <a:off x="5929935" y="956859"/>
              <a:ext cx="597438" cy="227029"/>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fld id="{64376449-71A6-4E50-B56E-925A8C2C71B3}" type="TxLink">
                <a:rPr lang="en-US" sz="900" b="0" i="0" u="none" strike="noStrike">
                  <a:solidFill>
                    <a:srgbClr val="000000"/>
                  </a:solidFill>
                  <a:latin typeface="Calibri"/>
                  <a:ea typeface="Calibri"/>
                  <a:cs typeface="Calibri"/>
                </a:rPr>
                <a:pPr/>
                <a:t>964</a:t>
              </a:fld>
              <a:endParaRPr lang="en-IN" sz="900"/>
            </a:p>
          </xdr:txBody>
        </xdr:sp>
      </xdr:grpSp>
      <xdr:sp macro="" textlink="">
        <xdr:nvSpPr>
          <xdr:cNvPr id="73" name="Rectangle: Rounded Corners 72">
            <a:extLst>
              <a:ext uri="{FF2B5EF4-FFF2-40B4-BE49-F238E27FC236}">
                <a16:creationId xmlns:a16="http://schemas.microsoft.com/office/drawing/2014/main" id="{746F96B6-DF1B-96FF-948B-71B25638EEAE}"/>
              </a:ext>
            </a:extLst>
          </xdr:cNvPr>
          <xdr:cNvSpPr/>
        </xdr:nvSpPr>
        <xdr:spPr>
          <a:xfrm>
            <a:off x="7898818" y="0"/>
            <a:ext cx="1027044" cy="20436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900" b="1" i="0">
                <a:solidFill>
                  <a:sysClr val="windowText" lastClr="000000"/>
                </a:solidFill>
                <a:effectLst/>
                <a:latin typeface="Bell MT" panose="02020503060305020303" pitchFamily="18" charset="0"/>
                <a:ea typeface="+mn-ea"/>
                <a:cs typeface="+mn-cs"/>
              </a:rPr>
              <a:t>No.</a:t>
            </a:r>
            <a:r>
              <a:rPr lang="en-US" sz="900" b="1" i="0" baseline="0">
                <a:solidFill>
                  <a:sysClr val="windowText" lastClr="000000"/>
                </a:solidFill>
                <a:effectLst/>
                <a:latin typeface="Bell MT" panose="02020503060305020303" pitchFamily="18" charset="0"/>
                <a:ea typeface="+mn-ea"/>
                <a:cs typeface="+mn-cs"/>
              </a:rPr>
              <a:t>of Patients</a:t>
            </a:r>
            <a:endParaRPr lang="en-IN" sz="900" b="1" i="0">
              <a:solidFill>
                <a:sysClr val="windowText" lastClr="000000"/>
              </a:solidFill>
              <a:effectLst/>
              <a:latin typeface="Bell MT" panose="02020503060305020303" pitchFamily="18" charset="0"/>
            </a:endParaRPr>
          </a:p>
          <a:p>
            <a:pPr marL="0" indent="0" algn="ctr"/>
            <a:endParaRPr lang="en-IN" sz="900">
              <a:solidFill>
                <a:sysClr val="windowText" lastClr="000000"/>
              </a:solidFill>
              <a:latin typeface="+mn-lt"/>
              <a:ea typeface="+mn-ea"/>
              <a:cs typeface="+mn-cs"/>
            </a:endParaRPr>
          </a:p>
        </xdr:txBody>
      </xdr:sp>
    </xdr:grpSp>
    <xdr:clientData/>
  </xdr:twoCellAnchor>
  <xdr:twoCellAnchor>
    <xdr:from>
      <xdr:col>2</xdr:col>
      <xdr:colOff>71618</xdr:colOff>
      <xdr:row>18</xdr:row>
      <xdr:rowOff>45829</xdr:rowOff>
    </xdr:from>
    <xdr:to>
      <xdr:col>5</xdr:col>
      <xdr:colOff>277092</xdr:colOff>
      <xdr:row>20</xdr:row>
      <xdr:rowOff>152200</xdr:rowOff>
    </xdr:to>
    <xdr:grpSp>
      <xdr:nvGrpSpPr>
        <xdr:cNvPr id="96" name="Group 95">
          <a:extLst>
            <a:ext uri="{FF2B5EF4-FFF2-40B4-BE49-F238E27FC236}">
              <a16:creationId xmlns:a16="http://schemas.microsoft.com/office/drawing/2014/main" id="{EC6E04E0-56EB-FC48-080F-FBE580A51F19}"/>
            </a:ext>
          </a:extLst>
        </xdr:cNvPr>
        <xdr:cNvGrpSpPr/>
      </xdr:nvGrpSpPr>
      <xdr:grpSpPr>
        <a:xfrm>
          <a:off x="1290818" y="3316567"/>
          <a:ext cx="1506736" cy="469787"/>
          <a:chOff x="5995342" y="583161"/>
          <a:chExt cx="1631233" cy="356823"/>
        </a:xfrm>
      </xdr:grpSpPr>
      <xdr:sp macro="" textlink="">
        <xdr:nvSpPr>
          <xdr:cNvPr id="81" name="Rectangle: Rounded Corners 80">
            <a:extLst>
              <a:ext uri="{FF2B5EF4-FFF2-40B4-BE49-F238E27FC236}">
                <a16:creationId xmlns:a16="http://schemas.microsoft.com/office/drawing/2014/main" id="{7D40FD56-8FB8-72A5-5F20-3F1836D16F13}"/>
              </a:ext>
            </a:extLst>
          </xdr:cNvPr>
          <xdr:cNvSpPr/>
        </xdr:nvSpPr>
        <xdr:spPr>
          <a:xfrm>
            <a:off x="5995342" y="583161"/>
            <a:ext cx="1631233" cy="356823"/>
          </a:xfrm>
          <a:prstGeom prst="roundRect">
            <a:avLst/>
          </a:prstGeom>
          <a:gradFill flip="none" rotWithShape="1">
            <a:gsLst>
              <a:gs pos="96000">
                <a:schemeClr val="accent4">
                  <a:lumMod val="20000"/>
                  <a:lumOff val="80000"/>
                </a:schemeClr>
              </a:gs>
              <a:gs pos="37692">
                <a:schemeClr val="accent4">
                  <a:lumMod val="20000"/>
                  <a:lumOff val="80000"/>
                </a:schemeClr>
              </a:gs>
              <a:gs pos="15385">
                <a:schemeClr val="accent4">
                  <a:lumMod val="20000"/>
                  <a:lumOff val="80000"/>
                </a:schemeClr>
              </a:gs>
              <a:gs pos="24000">
                <a:schemeClr val="accent4">
                  <a:lumMod val="20000"/>
                  <a:lumOff val="80000"/>
                </a:schemeClr>
              </a:gs>
              <a:gs pos="86000">
                <a:schemeClr val="accent2">
                  <a:lumMod val="40000"/>
                  <a:lumOff val="60000"/>
                </a:schemeClr>
              </a:gs>
              <a:gs pos="100000">
                <a:schemeClr val="accent2">
                  <a:lumMod val="40000"/>
                  <a:lumOff val="60000"/>
                </a:schemeClr>
              </a:gs>
            </a:gsLst>
            <a:path path="rect">
              <a:fillToRect l="100000" t="100000"/>
            </a:path>
            <a:tileRect r="-100000" b="-100000"/>
          </a:gra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IN" sz="1000" b="1">
                <a:solidFill>
                  <a:schemeClr val="dk1"/>
                </a:solidFill>
                <a:latin typeface="Bell MT" panose="02020503060305020303" pitchFamily="18" charset="0"/>
                <a:ea typeface="+mn-ea"/>
                <a:cs typeface="+mn-cs"/>
              </a:rPr>
              <a:t>Repeated Patients</a:t>
            </a:r>
          </a:p>
        </xdr:txBody>
      </xdr:sp>
      <xdr:sp macro="" textlink="Sheet1!Q60">
        <xdr:nvSpPr>
          <xdr:cNvPr id="87" name="Rectangle: Rounded Corners 86">
            <a:extLst>
              <a:ext uri="{FF2B5EF4-FFF2-40B4-BE49-F238E27FC236}">
                <a16:creationId xmlns:a16="http://schemas.microsoft.com/office/drawing/2014/main" id="{500F5E68-FC65-E023-9BAD-52CFD177CA27}"/>
              </a:ext>
            </a:extLst>
          </xdr:cNvPr>
          <xdr:cNvSpPr/>
        </xdr:nvSpPr>
        <xdr:spPr>
          <a:xfrm>
            <a:off x="6169571" y="773616"/>
            <a:ext cx="1229711" cy="12501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3074E79-5C97-44B1-91D1-E88660F4C531}" type="TxLink">
              <a:rPr lang="en-US" sz="800" b="0" i="0" u="none" strike="noStrike">
                <a:solidFill>
                  <a:sysClr val="windowText" lastClr="000000"/>
                </a:solidFill>
                <a:latin typeface="Calibri"/>
                <a:ea typeface="Calibri"/>
                <a:cs typeface="Calibri"/>
              </a:rPr>
              <a:pPr algn="ctr"/>
              <a:t>2</a:t>
            </a:fld>
            <a:endParaRPr lang="en-IN" sz="800">
              <a:solidFill>
                <a:sysClr val="windowText" lastClr="000000"/>
              </a:solidFill>
            </a:endParaRPr>
          </a:p>
        </xdr:txBody>
      </xdr:sp>
    </xdr:grpSp>
    <xdr:clientData/>
  </xdr:twoCellAnchor>
  <xdr:twoCellAnchor>
    <xdr:from>
      <xdr:col>2</xdr:col>
      <xdr:colOff>79143</xdr:colOff>
      <xdr:row>21</xdr:row>
      <xdr:rowOff>25561</xdr:rowOff>
    </xdr:from>
    <xdr:to>
      <xdr:col>5</xdr:col>
      <xdr:colOff>301387</xdr:colOff>
      <xdr:row>23</xdr:row>
      <xdr:rowOff>162037</xdr:rowOff>
    </xdr:to>
    <xdr:grpSp>
      <xdr:nvGrpSpPr>
        <xdr:cNvPr id="95" name="Group 94">
          <a:extLst>
            <a:ext uri="{FF2B5EF4-FFF2-40B4-BE49-F238E27FC236}">
              <a16:creationId xmlns:a16="http://schemas.microsoft.com/office/drawing/2014/main" id="{6DCF6052-7995-3771-0072-312C49E51C6D}"/>
            </a:ext>
          </a:extLst>
        </xdr:cNvPr>
        <xdr:cNvGrpSpPr/>
      </xdr:nvGrpSpPr>
      <xdr:grpSpPr>
        <a:xfrm>
          <a:off x="1298343" y="3841423"/>
          <a:ext cx="1523506" cy="499891"/>
          <a:chOff x="1561800" y="585875"/>
          <a:chExt cx="1747877" cy="366365"/>
        </a:xfrm>
      </xdr:grpSpPr>
      <xdr:sp macro="" textlink="">
        <xdr:nvSpPr>
          <xdr:cNvPr id="88" name="Rectangle: Rounded Corners 87">
            <a:extLst>
              <a:ext uri="{FF2B5EF4-FFF2-40B4-BE49-F238E27FC236}">
                <a16:creationId xmlns:a16="http://schemas.microsoft.com/office/drawing/2014/main" id="{34EA11C0-DC0B-4A33-A407-976BD93DCEA1}"/>
              </a:ext>
            </a:extLst>
          </xdr:cNvPr>
          <xdr:cNvSpPr/>
        </xdr:nvSpPr>
        <xdr:spPr>
          <a:xfrm>
            <a:off x="1561800" y="585875"/>
            <a:ext cx="1747877" cy="366365"/>
          </a:xfrm>
          <a:prstGeom prst="roundRect">
            <a:avLst/>
          </a:prstGeom>
          <a:gradFill flip="none" rotWithShape="1">
            <a:gsLst>
              <a:gs pos="96000">
                <a:schemeClr val="accent4">
                  <a:lumMod val="20000"/>
                  <a:lumOff val="80000"/>
                </a:schemeClr>
              </a:gs>
              <a:gs pos="37692">
                <a:schemeClr val="accent4">
                  <a:lumMod val="20000"/>
                  <a:lumOff val="80000"/>
                </a:schemeClr>
              </a:gs>
              <a:gs pos="15385">
                <a:schemeClr val="accent4">
                  <a:lumMod val="20000"/>
                  <a:lumOff val="80000"/>
                </a:schemeClr>
              </a:gs>
              <a:gs pos="24000">
                <a:schemeClr val="accent4">
                  <a:lumMod val="20000"/>
                  <a:lumOff val="80000"/>
                </a:schemeClr>
              </a:gs>
              <a:gs pos="86000">
                <a:schemeClr val="accent2">
                  <a:lumMod val="40000"/>
                  <a:lumOff val="60000"/>
                </a:schemeClr>
              </a:gs>
              <a:gs pos="100000">
                <a:schemeClr val="accent2">
                  <a:lumMod val="40000"/>
                  <a:lumOff val="60000"/>
                </a:schemeClr>
              </a:gs>
            </a:gsLst>
            <a:path path="rect">
              <a:fillToRect l="100000" t="100000"/>
            </a:path>
            <a:tileRect r="-100000" b="-100000"/>
          </a:gra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IN" sz="800" b="1">
                <a:solidFill>
                  <a:schemeClr val="dk1"/>
                </a:solidFill>
                <a:latin typeface="Bell MT" panose="02020503060305020303" pitchFamily="18" charset="0"/>
                <a:ea typeface="+mn-ea"/>
                <a:cs typeface="+mn-cs"/>
              </a:rPr>
              <a:t>Avg Waiting Time</a:t>
            </a:r>
            <a:r>
              <a:rPr lang="en-IN" sz="800" b="1" baseline="0">
                <a:solidFill>
                  <a:schemeClr val="dk1"/>
                </a:solidFill>
                <a:latin typeface="Bell MT" panose="02020503060305020303" pitchFamily="18" charset="0"/>
                <a:ea typeface="+mn-ea"/>
                <a:cs typeface="+mn-cs"/>
              </a:rPr>
              <a:t>                     (in mins)</a:t>
            </a:r>
            <a:endParaRPr lang="en-IN" sz="800" b="1">
              <a:solidFill>
                <a:schemeClr val="dk1"/>
              </a:solidFill>
              <a:latin typeface="Bell MT" panose="02020503060305020303" pitchFamily="18" charset="0"/>
              <a:ea typeface="+mn-ea"/>
              <a:cs typeface="+mn-cs"/>
            </a:endParaRPr>
          </a:p>
        </xdr:txBody>
      </xdr:sp>
      <xdr:sp macro="" textlink="Sheet1!G55">
        <xdr:nvSpPr>
          <xdr:cNvPr id="89" name="Rectangle: Rounded Corners 88">
            <a:extLst>
              <a:ext uri="{FF2B5EF4-FFF2-40B4-BE49-F238E27FC236}">
                <a16:creationId xmlns:a16="http://schemas.microsoft.com/office/drawing/2014/main" id="{1E3359D9-058D-40DA-86F7-7C94FC4FE7E7}"/>
              </a:ext>
            </a:extLst>
          </xdr:cNvPr>
          <xdr:cNvSpPr/>
        </xdr:nvSpPr>
        <xdr:spPr>
          <a:xfrm>
            <a:off x="2147645" y="807713"/>
            <a:ext cx="633802" cy="11296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FD3DF62-3C0D-4EE8-B038-3ADA648FECEF}" type="TxLink">
              <a:rPr lang="en-US" sz="1000" b="0" i="0" u="none" strike="noStrike">
                <a:solidFill>
                  <a:srgbClr val="000000"/>
                </a:solidFill>
                <a:latin typeface="Calibri"/>
                <a:ea typeface="Calibri"/>
                <a:cs typeface="Calibri"/>
              </a:rPr>
              <a:pPr algn="l"/>
              <a:t>34.49</a:t>
            </a:fld>
            <a:endParaRPr lang="en-IN" sz="1000"/>
          </a:p>
        </xdr:txBody>
      </xdr:sp>
      <xdr:pic>
        <xdr:nvPicPr>
          <xdr:cNvPr id="91" name="Graphic 90" descr="Hourglass Finished with solid fill">
            <a:extLst>
              <a:ext uri="{FF2B5EF4-FFF2-40B4-BE49-F238E27FC236}">
                <a16:creationId xmlns:a16="http://schemas.microsoft.com/office/drawing/2014/main" id="{3288331A-9C76-3E1A-A6E4-0C4B5078EF2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967342" y="675453"/>
            <a:ext cx="157655" cy="157655"/>
          </a:xfrm>
          <a:prstGeom prst="rect">
            <a:avLst/>
          </a:prstGeom>
        </xdr:spPr>
      </xdr:pic>
    </xdr:grpSp>
    <xdr:clientData/>
  </xdr:twoCellAnchor>
  <xdr:twoCellAnchor>
    <xdr:from>
      <xdr:col>2</xdr:col>
      <xdr:colOff>66508</xdr:colOff>
      <xdr:row>24</xdr:row>
      <xdr:rowOff>38930</xdr:rowOff>
    </xdr:from>
    <xdr:to>
      <xdr:col>5</xdr:col>
      <xdr:colOff>271669</xdr:colOff>
      <xdr:row>26</xdr:row>
      <xdr:rowOff>156280</xdr:rowOff>
    </xdr:to>
    <xdr:grpSp>
      <xdr:nvGrpSpPr>
        <xdr:cNvPr id="94" name="Group 93">
          <a:extLst>
            <a:ext uri="{FF2B5EF4-FFF2-40B4-BE49-F238E27FC236}">
              <a16:creationId xmlns:a16="http://schemas.microsoft.com/office/drawing/2014/main" id="{BB23A65D-1D89-5556-C9F2-74F5413C038A}"/>
            </a:ext>
          </a:extLst>
        </xdr:cNvPr>
        <xdr:cNvGrpSpPr/>
      </xdr:nvGrpSpPr>
      <xdr:grpSpPr>
        <a:xfrm>
          <a:off x="1285708" y="4399915"/>
          <a:ext cx="1506423" cy="480765"/>
          <a:chOff x="4057869" y="597606"/>
          <a:chExt cx="865007" cy="366365"/>
        </a:xfrm>
      </xdr:grpSpPr>
      <xdr:sp macro="" textlink="">
        <xdr:nvSpPr>
          <xdr:cNvPr id="92" name="Rectangle: Rounded Corners 91">
            <a:extLst>
              <a:ext uri="{FF2B5EF4-FFF2-40B4-BE49-F238E27FC236}">
                <a16:creationId xmlns:a16="http://schemas.microsoft.com/office/drawing/2014/main" id="{4C89E6AB-6352-46D4-9BD1-37F4DEF04C20}"/>
              </a:ext>
            </a:extLst>
          </xdr:cNvPr>
          <xdr:cNvSpPr/>
        </xdr:nvSpPr>
        <xdr:spPr>
          <a:xfrm>
            <a:off x="4057869" y="597606"/>
            <a:ext cx="865007" cy="366365"/>
          </a:xfrm>
          <a:prstGeom prst="roundRect">
            <a:avLst/>
          </a:prstGeom>
          <a:gradFill flip="none" rotWithShape="1">
            <a:gsLst>
              <a:gs pos="96000">
                <a:schemeClr val="accent4">
                  <a:lumMod val="20000"/>
                  <a:lumOff val="80000"/>
                </a:schemeClr>
              </a:gs>
              <a:gs pos="37692">
                <a:schemeClr val="accent4">
                  <a:lumMod val="20000"/>
                  <a:lumOff val="80000"/>
                </a:schemeClr>
              </a:gs>
              <a:gs pos="15385">
                <a:schemeClr val="accent4">
                  <a:lumMod val="20000"/>
                  <a:lumOff val="80000"/>
                </a:schemeClr>
              </a:gs>
              <a:gs pos="24000">
                <a:schemeClr val="accent4">
                  <a:lumMod val="20000"/>
                  <a:lumOff val="80000"/>
                </a:schemeClr>
              </a:gs>
              <a:gs pos="86000">
                <a:schemeClr val="accent2">
                  <a:lumMod val="40000"/>
                  <a:lumOff val="60000"/>
                </a:schemeClr>
              </a:gs>
              <a:gs pos="100000">
                <a:schemeClr val="accent2">
                  <a:lumMod val="40000"/>
                  <a:lumOff val="60000"/>
                </a:schemeClr>
              </a:gs>
            </a:gsLst>
            <a:path path="rect">
              <a:fillToRect l="100000" t="100000"/>
            </a:path>
            <a:tileRect r="-100000" b="-100000"/>
          </a:gra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IN" sz="900" b="1">
                <a:solidFill>
                  <a:schemeClr val="dk1"/>
                </a:solidFill>
                <a:latin typeface="Bell MT" panose="02020503060305020303" pitchFamily="18" charset="0"/>
                <a:ea typeface="+mn-ea"/>
                <a:cs typeface="+mn-cs"/>
              </a:rPr>
              <a:t>Avg Rating</a:t>
            </a:r>
          </a:p>
        </xdr:txBody>
      </xdr:sp>
      <xdr:sp macro="" textlink="Sheet1!J57">
        <xdr:nvSpPr>
          <xdr:cNvPr id="93" name="Rectangle: Rounded Corners 92">
            <a:extLst>
              <a:ext uri="{FF2B5EF4-FFF2-40B4-BE49-F238E27FC236}">
                <a16:creationId xmlns:a16="http://schemas.microsoft.com/office/drawing/2014/main" id="{E7C443BC-F896-47F2-9E02-B762746582CA}"/>
              </a:ext>
            </a:extLst>
          </xdr:cNvPr>
          <xdr:cNvSpPr/>
        </xdr:nvSpPr>
        <xdr:spPr>
          <a:xfrm>
            <a:off x="4357684" y="797391"/>
            <a:ext cx="536028" cy="12280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6216F1D9-B3FD-420B-A2D5-A38D06A8930C}" type="TxLink">
              <a:rPr lang="en-US" sz="1000" b="0" i="0" u="none" strike="noStrike">
                <a:solidFill>
                  <a:srgbClr val="000000"/>
                </a:solidFill>
                <a:latin typeface="Calibri"/>
                <a:ea typeface="Calibri"/>
                <a:cs typeface="Calibri"/>
              </a:rPr>
              <a:pPr algn="l"/>
              <a:t>5.03</a:t>
            </a:fld>
            <a:endParaRPr lang="en-IN" sz="1000" b="0"/>
          </a:p>
        </xdr:txBody>
      </xdr:sp>
    </xdr:grpSp>
    <xdr:clientData/>
  </xdr:twoCellAnchor>
  <xdr:twoCellAnchor>
    <xdr:from>
      <xdr:col>11</xdr:col>
      <xdr:colOff>430691</xdr:colOff>
      <xdr:row>4</xdr:row>
      <xdr:rowOff>33131</xdr:rowOff>
    </xdr:from>
    <xdr:to>
      <xdr:col>16</xdr:col>
      <xdr:colOff>161635</xdr:colOff>
      <xdr:row>15</xdr:row>
      <xdr:rowOff>15394</xdr:rowOff>
    </xdr:to>
    <xdr:graphicFrame macro="">
      <xdr:nvGraphicFramePr>
        <xdr:cNvPr id="113" name="Chart 112">
          <a:extLst>
            <a:ext uri="{FF2B5EF4-FFF2-40B4-BE49-F238E27FC236}">
              <a16:creationId xmlns:a16="http://schemas.microsoft.com/office/drawing/2014/main" id="{EE65C419-19B5-4691-A2D4-A7FCE5767C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330969</xdr:colOff>
      <xdr:row>18</xdr:row>
      <xdr:rowOff>61576</xdr:rowOff>
    </xdr:from>
    <xdr:to>
      <xdr:col>11</xdr:col>
      <xdr:colOff>392545</xdr:colOff>
      <xdr:row>26</xdr:row>
      <xdr:rowOff>153940</xdr:rowOff>
    </xdr:to>
    <xdr:graphicFrame macro="">
      <xdr:nvGraphicFramePr>
        <xdr:cNvPr id="122" name="Chart 121">
          <a:extLst>
            <a:ext uri="{FF2B5EF4-FFF2-40B4-BE49-F238E27FC236}">
              <a16:creationId xmlns:a16="http://schemas.microsoft.com/office/drawing/2014/main" id="{02C9034E-E64E-4375-BF49-E51E4F0738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60426</xdr:colOff>
      <xdr:row>1</xdr:row>
      <xdr:rowOff>17787</xdr:rowOff>
    </xdr:from>
    <xdr:to>
      <xdr:col>16</xdr:col>
      <xdr:colOff>188754</xdr:colOff>
      <xdr:row>7</xdr:row>
      <xdr:rowOff>11713</xdr:rowOff>
    </xdr:to>
    <xdr:grpSp>
      <xdr:nvGrpSpPr>
        <xdr:cNvPr id="126" name="Group 125">
          <a:extLst>
            <a:ext uri="{FF2B5EF4-FFF2-40B4-BE49-F238E27FC236}">
              <a16:creationId xmlns:a16="http://schemas.microsoft.com/office/drawing/2014/main" id="{6DD7E7D5-3F52-678C-6522-A560F393B8A0}"/>
            </a:ext>
          </a:extLst>
        </xdr:cNvPr>
        <xdr:cNvGrpSpPr/>
      </xdr:nvGrpSpPr>
      <xdr:grpSpPr>
        <a:xfrm>
          <a:off x="1279626" y="199495"/>
          <a:ext cx="8568943" cy="1084172"/>
          <a:chOff x="368287" y="217596"/>
          <a:chExt cx="8556510" cy="1102602"/>
        </a:xfrm>
      </xdr:grpSpPr>
      <xdr:grpSp>
        <xdr:nvGrpSpPr>
          <xdr:cNvPr id="124" name="Group 123">
            <a:extLst>
              <a:ext uri="{FF2B5EF4-FFF2-40B4-BE49-F238E27FC236}">
                <a16:creationId xmlns:a16="http://schemas.microsoft.com/office/drawing/2014/main" id="{49A83076-66B9-26C3-C62E-0CD3D434A1A0}"/>
              </a:ext>
            </a:extLst>
          </xdr:cNvPr>
          <xdr:cNvGrpSpPr/>
        </xdr:nvGrpSpPr>
        <xdr:grpSpPr>
          <a:xfrm>
            <a:off x="368287" y="218350"/>
            <a:ext cx="8556510" cy="1101848"/>
            <a:chOff x="60408" y="18229"/>
            <a:chExt cx="8556510" cy="1101848"/>
          </a:xfrm>
        </xdr:grpSpPr>
        <xdr:grpSp>
          <xdr:nvGrpSpPr>
            <xdr:cNvPr id="123" name="Group 122">
              <a:extLst>
                <a:ext uri="{FF2B5EF4-FFF2-40B4-BE49-F238E27FC236}">
                  <a16:creationId xmlns:a16="http://schemas.microsoft.com/office/drawing/2014/main" id="{0C99E73E-3E20-DB57-13FB-37F18922345B}"/>
                </a:ext>
              </a:extLst>
            </xdr:cNvPr>
            <xdr:cNvGrpSpPr/>
          </xdr:nvGrpSpPr>
          <xdr:grpSpPr>
            <a:xfrm>
              <a:off x="60408" y="18229"/>
              <a:ext cx="8556510" cy="1101848"/>
              <a:chOff x="60408" y="18229"/>
              <a:chExt cx="8556510" cy="1101848"/>
            </a:xfrm>
          </xdr:grpSpPr>
          <xdr:sp macro="" textlink="">
            <xdr:nvSpPr>
              <xdr:cNvPr id="4" name="Rectangle: Rounded Corners 3">
                <a:extLst>
                  <a:ext uri="{FF2B5EF4-FFF2-40B4-BE49-F238E27FC236}">
                    <a16:creationId xmlns:a16="http://schemas.microsoft.com/office/drawing/2014/main" id="{AB18B1B8-0EBC-95CA-C869-3820F3A9FE36}"/>
                  </a:ext>
                </a:extLst>
              </xdr:cNvPr>
              <xdr:cNvSpPr/>
            </xdr:nvSpPr>
            <xdr:spPr>
              <a:xfrm>
                <a:off x="60408" y="18229"/>
                <a:ext cx="8556510" cy="514235"/>
              </a:xfrm>
              <a:prstGeom prst="roundRect">
                <a:avLst/>
              </a:prstGeom>
              <a:gradFill flip="none" rotWithShape="1">
                <a:gsLst>
                  <a:gs pos="96000">
                    <a:schemeClr val="accent4">
                      <a:lumMod val="20000"/>
                      <a:lumOff val="80000"/>
                    </a:schemeClr>
                  </a:gs>
                  <a:gs pos="37692">
                    <a:schemeClr val="accent4">
                      <a:lumMod val="20000"/>
                      <a:lumOff val="80000"/>
                    </a:schemeClr>
                  </a:gs>
                  <a:gs pos="15385">
                    <a:schemeClr val="accent4">
                      <a:lumMod val="20000"/>
                      <a:lumOff val="80000"/>
                    </a:schemeClr>
                  </a:gs>
                  <a:gs pos="24000">
                    <a:schemeClr val="accent4">
                      <a:lumMod val="20000"/>
                      <a:lumOff val="80000"/>
                    </a:schemeClr>
                  </a:gs>
                  <a:gs pos="86000">
                    <a:schemeClr val="accent2">
                      <a:lumMod val="40000"/>
                      <a:lumOff val="60000"/>
                    </a:schemeClr>
                  </a:gs>
                  <a:gs pos="100000">
                    <a:schemeClr val="accent2">
                      <a:lumMod val="40000"/>
                      <a:lumOff val="60000"/>
                    </a:schemeClr>
                  </a:gs>
                </a:gsLst>
                <a:path path="rect">
                  <a:fillToRect l="100000" t="100000"/>
                </a:path>
                <a:tileRect r="-100000" b="-100000"/>
              </a:gra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400">
                    <a:latin typeface="Bell MT" panose="02020503060305020303" pitchFamily="18" charset="0"/>
                  </a:rPr>
                  <a:t>           MPPC Medical Center and Hospital </a:t>
                </a:r>
                <a:r>
                  <a:rPr lang="en-IN" sz="2400" baseline="0">
                    <a:latin typeface="Bell MT" panose="02020503060305020303" pitchFamily="18" charset="0"/>
                  </a:rPr>
                  <a:t> </a:t>
                </a:r>
                <a:endParaRPr lang="en-IN" sz="2000">
                  <a:latin typeface="Bell MT" panose="02020503060305020303" pitchFamily="18" charset="0"/>
                </a:endParaRPr>
              </a:p>
              <a:p>
                <a:pPr algn="ctr"/>
                <a:r>
                  <a:rPr lang="en-IN" sz="1100"/>
                  <a:t>                  </a:t>
                </a:r>
                <a:endParaRPr lang="en-IN" sz="1200"/>
              </a:p>
            </xdr:txBody>
          </xdr:sp>
          <xdr:sp macro="" textlink="">
            <xdr:nvSpPr>
              <xdr:cNvPr id="27" name="Rectangle: Rounded Corners 26">
                <a:extLst>
                  <a:ext uri="{FF2B5EF4-FFF2-40B4-BE49-F238E27FC236}">
                    <a16:creationId xmlns:a16="http://schemas.microsoft.com/office/drawing/2014/main" id="{00C27DB2-CE30-A904-989B-1A6599F70E92}"/>
                  </a:ext>
                </a:extLst>
              </xdr:cNvPr>
              <xdr:cNvSpPr/>
            </xdr:nvSpPr>
            <xdr:spPr>
              <a:xfrm>
                <a:off x="77294" y="615361"/>
                <a:ext cx="1485325" cy="504716"/>
              </a:xfrm>
              <a:prstGeom prst="roundRect">
                <a:avLst/>
              </a:prstGeom>
              <a:gradFill flip="none" rotWithShape="1">
                <a:gsLst>
                  <a:gs pos="96000">
                    <a:schemeClr val="accent4">
                      <a:lumMod val="20000"/>
                      <a:lumOff val="80000"/>
                    </a:schemeClr>
                  </a:gs>
                  <a:gs pos="37692">
                    <a:schemeClr val="accent4">
                      <a:lumMod val="20000"/>
                      <a:lumOff val="80000"/>
                    </a:schemeClr>
                  </a:gs>
                  <a:gs pos="15385">
                    <a:schemeClr val="accent4">
                      <a:lumMod val="20000"/>
                      <a:lumOff val="80000"/>
                    </a:schemeClr>
                  </a:gs>
                  <a:gs pos="24000">
                    <a:schemeClr val="accent4">
                      <a:lumMod val="20000"/>
                      <a:lumOff val="80000"/>
                    </a:schemeClr>
                  </a:gs>
                  <a:gs pos="86000">
                    <a:schemeClr val="accent2">
                      <a:lumMod val="40000"/>
                      <a:lumOff val="60000"/>
                    </a:schemeClr>
                  </a:gs>
                  <a:gs pos="100000">
                    <a:schemeClr val="accent2">
                      <a:lumMod val="40000"/>
                      <a:lumOff val="60000"/>
                    </a:schemeClr>
                  </a:gs>
                </a:gsLst>
                <a:path path="rect">
                  <a:fillToRect l="100000" t="100000"/>
                </a:path>
                <a:tileRect r="-100000" b="-100000"/>
              </a:gra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IN" sz="900" b="1">
                    <a:solidFill>
                      <a:schemeClr val="dk1"/>
                    </a:solidFill>
                    <a:latin typeface="Bell MT" panose="02020503060305020303" pitchFamily="18" charset="0"/>
                    <a:ea typeface="+mn-ea"/>
                    <a:cs typeface="+mn-cs"/>
                  </a:rPr>
                  <a:t>YEAR</a:t>
                </a:r>
              </a:p>
            </xdr:txBody>
          </xdr:sp>
          <xdr:sp macro="[0]!Macro1" textlink="">
            <xdr:nvSpPr>
              <xdr:cNvPr id="29" name="Rectangle: Rounded Corners 28">
                <a:extLst>
                  <a:ext uri="{FF2B5EF4-FFF2-40B4-BE49-F238E27FC236}">
                    <a16:creationId xmlns:a16="http://schemas.microsoft.com/office/drawing/2014/main" id="{B0387D57-B443-E1B7-DAFD-4DFB4633B42C}"/>
                  </a:ext>
                </a:extLst>
              </xdr:cNvPr>
              <xdr:cNvSpPr/>
            </xdr:nvSpPr>
            <xdr:spPr>
              <a:xfrm>
                <a:off x="269308" y="862574"/>
                <a:ext cx="555286" cy="138288"/>
              </a:xfrm>
              <a:prstGeom prst="roundRect">
                <a:avLst/>
              </a:prstGeom>
              <a:gradFill flip="none" rotWithShape="1">
                <a:gsLst>
                  <a:gs pos="0">
                    <a:schemeClr val="accent2">
                      <a:lumMod val="60000"/>
                      <a:lumOff val="40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a:solidFill>
                      <a:sysClr val="windowText" lastClr="000000"/>
                    </a:solidFill>
                  </a:rPr>
                  <a:t>2023</a:t>
                </a:r>
              </a:p>
            </xdr:txBody>
          </xdr:sp>
          <xdr:sp macro="[0]!Macro2" textlink="">
            <xdr:nvSpPr>
              <xdr:cNvPr id="30" name="Rectangle: Rounded Corners 29">
                <a:extLst>
                  <a:ext uri="{FF2B5EF4-FFF2-40B4-BE49-F238E27FC236}">
                    <a16:creationId xmlns:a16="http://schemas.microsoft.com/office/drawing/2014/main" id="{66977835-821B-48F7-A1C9-F746551F389B}"/>
                  </a:ext>
                </a:extLst>
              </xdr:cNvPr>
              <xdr:cNvSpPr/>
            </xdr:nvSpPr>
            <xdr:spPr>
              <a:xfrm>
                <a:off x="878518" y="874518"/>
                <a:ext cx="575852" cy="127638"/>
              </a:xfrm>
              <a:prstGeom prst="roundRect">
                <a:avLst/>
              </a:prstGeom>
              <a:gradFill flip="none" rotWithShape="1">
                <a:gsLst>
                  <a:gs pos="0">
                    <a:schemeClr val="accent2">
                      <a:lumMod val="60000"/>
                      <a:lumOff val="40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a:solidFill>
                      <a:sysClr val="windowText" lastClr="000000"/>
                    </a:solidFill>
                  </a:rPr>
                  <a:t>2024</a:t>
                </a:r>
              </a:p>
              <a:p>
                <a:pPr algn="ctr"/>
                <a:endParaRPr lang="en-IN" sz="1100"/>
              </a:p>
            </xdr:txBody>
          </xdr:sp>
          <xdr:pic macro="[0]!Macro3">
            <xdr:nvPicPr>
              <xdr:cNvPr id="32" name="Picture 31">
                <a:extLst>
                  <a:ext uri="{FF2B5EF4-FFF2-40B4-BE49-F238E27FC236}">
                    <a16:creationId xmlns:a16="http://schemas.microsoft.com/office/drawing/2014/main" id="{146947A5-F2A4-BFC7-51DF-66DA0761569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81531" y="638849"/>
                <a:ext cx="288296" cy="153939"/>
              </a:xfrm>
              <a:prstGeom prst="rect">
                <a:avLst/>
              </a:prstGeom>
            </xdr:spPr>
          </xdr:pic>
        </xdr:grpSp>
        <xdr:pic>
          <xdr:nvPicPr>
            <xdr:cNvPr id="71" name="Graphic 70" descr="Daily calendar with solid fill">
              <a:extLst>
                <a:ext uri="{FF2B5EF4-FFF2-40B4-BE49-F238E27FC236}">
                  <a16:creationId xmlns:a16="http://schemas.microsoft.com/office/drawing/2014/main" id="{F314B769-5E6F-19C5-2FBD-AD526E3AD59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82886" y="616827"/>
              <a:ext cx="275850" cy="172342"/>
            </a:xfrm>
            <a:prstGeom prst="rect">
              <a:avLst/>
            </a:prstGeom>
          </xdr:spPr>
        </xdr:pic>
      </xdr:grpSp>
      <xdr:pic>
        <xdr:nvPicPr>
          <xdr:cNvPr id="125" name="Graphic 124" descr="Medical with solid fill">
            <a:extLst>
              <a:ext uri="{FF2B5EF4-FFF2-40B4-BE49-F238E27FC236}">
                <a16:creationId xmlns:a16="http://schemas.microsoft.com/office/drawing/2014/main" id="{87F11FF8-FA73-4967-8699-5981DE01B07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682423" y="217596"/>
            <a:ext cx="440420" cy="453275"/>
          </a:xfrm>
          <a:prstGeom prst="rect">
            <a:avLst/>
          </a:prstGeom>
        </xdr:spPr>
      </xdr:pic>
    </xdr:grpSp>
    <xdr:clientData/>
  </xdr:twoCellAnchor>
  <xdr:twoCellAnchor editAs="oneCell">
    <xdr:from>
      <xdr:col>4</xdr:col>
      <xdr:colOff>562708</xdr:colOff>
      <xdr:row>24</xdr:row>
      <xdr:rowOff>58616</xdr:rowOff>
    </xdr:from>
    <xdr:to>
      <xdr:col>5</xdr:col>
      <xdr:colOff>228600</xdr:colOff>
      <xdr:row>25</xdr:row>
      <xdr:rowOff>152401</xdr:rowOff>
    </xdr:to>
    <xdr:pic>
      <xdr:nvPicPr>
        <xdr:cNvPr id="130" name="Graphic 129" descr="Stars with solid fill">
          <a:extLst>
            <a:ext uri="{FF2B5EF4-FFF2-40B4-BE49-F238E27FC236}">
              <a16:creationId xmlns:a16="http://schemas.microsoft.com/office/drawing/2014/main" id="{D550DB71-CF8B-C0C9-5B87-5A42C11BF1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473570" y="4419601"/>
          <a:ext cx="275492" cy="275492"/>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0.78565</cdr:x>
      <cdr:y>0.00308</cdr:y>
    </cdr:from>
    <cdr:to>
      <cdr:x>1</cdr:x>
      <cdr:y>0.10306</cdr:y>
    </cdr:to>
    <cdr:sp macro="" textlink="Sheet1!$L$56">
      <cdr:nvSpPr>
        <cdr:cNvPr id="2" name="Rectangle 1">
          <a:extLst xmlns:a="http://schemas.openxmlformats.org/drawingml/2006/main">
            <a:ext uri="{FF2B5EF4-FFF2-40B4-BE49-F238E27FC236}">
              <a16:creationId xmlns:a16="http://schemas.microsoft.com/office/drawing/2014/main" id="{04E16905-15AB-9D52-503D-017A7F0CAB91}"/>
            </a:ext>
          </a:extLst>
        </cdr:cNvPr>
        <cdr:cNvSpPr/>
      </cdr:nvSpPr>
      <cdr:spPr>
        <a:xfrm xmlns:a="http://schemas.openxmlformats.org/drawingml/2006/main">
          <a:off x="3147608" y="7804"/>
          <a:ext cx="858753" cy="25293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6"/>
        </a:lnRef>
        <a:fillRef xmlns:a="http://schemas.openxmlformats.org/drawingml/2006/main" idx="1">
          <a:schemeClr val="lt1"/>
        </a:fillRef>
        <a:effectRef xmlns:a="http://schemas.openxmlformats.org/drawingml/2006/main" idx="0">
          <a:schemeClr val="accent6"/>
        </a:effectRef>
        <a:fontRef xmlns:a="http://schemas.openxmlformats.org/drawingml/2006/main" idx="minor">
          <a:schemeClr val="dk1"/>
        </a:fontRef>
      </cdr:style>
      <cdr:txBody>
        <a:bodyPr xmlns:a="http://schemas.openxmlformats.org/drawingml/2006/main" vertOverflow="clip"/>
        <a:lstStyle xmlns:a="http://schemas.openxmlformats.org/drawingml/2006/main"/>
        <a:p xmlns:a="http://schemas.openxmlformats.org/drawingml/2006/main">
          <a:fld id="{AF0871EC-72FC-4778-962B-C31A6845ECD5}" type="TxLink">
            <a:rPr lang="en-US" sz="1100" b="0" i="1" u="none" strike="noStrike" kern="1200">
              <a:solidFill>
                <a:srgbClr val="000000"/>
              </a:solidFill>
              <a:latin typeface="+mn-lt"/>
              <a:ea typeface="Calibri"/>
              <a:cs typeface="Calibri"/>
            </a:rPr>
            <a:pPr/>
            <a:t>2023  2024</a:t>
          </a:fld>
          <a:endParaRPr lang="en-IN" sz="1100" i="1" kern="1200">
            <a:latin typeface="+mn-lt"/>
          </a:endParaRP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ini Pintu" refreshedDate="45837.165113541669" backgroundQuery="1" createdVersion="8" refreshedVersion="8" minRefreshableVersion="3" recordCount="0" supportSubquery="1" supportAdvancedDrill="1" xr:uid="{17B38B95-C5A3-4FF5-A543-6B348B5BF072}">
  <cacheSource type="external" connectionId="2"/>
  <cacheFields count="3">
    <cacheField name="[Measures].[Count of Patient Id]" caption="Count of Patient Id" numFmtId="0" hierarchy="21" level="32767"/>
    <cacheField name="[Hospital Emergency Room Data].[Patient Admission Date (Month)].[Patient Admission Date (Month)]" caption="Patient Admission Date (Month)" numFmtId="0" hierarchy="14" level="1">
      <sharedItems count="12">
        <s v="Jan"/>
        <s v="Feb"/>
        <s v="Mar"/>
        <s v="Apr"/>
        <s v="May"/>
        <s v="Jun"/>
        <s v="Jul"/>
        <s v="Aug"/>
        <s v="Sep"/>
        <s v="Oct"/>
        <s v="Nov"/>
        <s v="Dec"/>
      </sharedItems>
    </cacheField>
    <cacheField name="[Hospital Emergency Room Data].[Patient Admission Date (Year)].[Patient Admission Date (Year)]" caption="Patient Admission Date (Year)" numFmtId="0" hierarchy="12" level="1">
      <sharedItems containsSemiMixedTypes="0" containsNonDate="0" containsString="0"/>
    </cacheField>
  </cacheFields>
  <cacheHierarchies count="29">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Age Range]" caption="Age Range" attribute="1" defaultMemberUniqueName="[Hospital Emergency Room Data].[Age Range].[All]" allUniqueName="[Hospital Emergency Room Data].[Age Range].[All]" dimensionUniqueName="[Hospital Emergency Room Data]" displayFolder="" count="0" memberValueDatatype="13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fieldsUsage count="2">
        <fieldUsage x="-1"/>
        <fieldUsage x="2"/>
      </fieldsUsage>
    </cacheHierarchy>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fieldsUsage count="2">
        <fieldUsage x="-1"/>
        <fieldUsage x="1"/>
      </fieldsUsage>
    </cacheHierarchy>
    <cacheHierarchy uniqueName="[Hospital Emergency Room Data].[Count more thn1]" caption="Count more thn1" attribute="1" defaultMemberUniqueName="[Hospital Emergency Room Data].[Count more thn1].[All]" allUniqueName="[Hospital Emergency Room Data].[Count more thn1].[All]" dimensionUniqueName="[Hospital Emergency Room Data]" displayFolder="" count="0" memberValueDatatype="20" unbalanced="0"/>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Count of Patient more than 1]" caption="Count of Patient more than 1" measure="1" displayFolder="" measureGroup="Hospital Emergency Room Data" count="0"/>
    <cacheHierarchy uniqueName="[Measures].[True/False]" caption="True/False" measure="1" displayFolder="" measureGroup="Hospital Emergency Room Data" count="0"/>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3"/>
        </ext>
      </extLst>
    </cacheHierarchy>
    <cacheHierarchy uniqueName="[Measures].[Count of Patient Admission Date (Month)]" caption="Count of Patient Admission Date (Month)"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2">
    <dimension name="Hospital Emergency Room Data" uniqueName="[Hospital Emergency Room Data]" caption="Hospital Emergency Room Data"/>
    <dimension measure="1" name="Measures" uniqueName="[Measures]" caption="Measures"/>
  </dimensions>
  <measureGroups count="1">
    <measureGroup name="Hospital Emergency Room Data" caption="Hospital Emergency Room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ini Pintu" refreshedDate="45837.165113888892" backgroundQuery="1" createdVersion="8" refreshedVersion="8" minRefreshableVersion="3" recordCount="0" supportSubquery="1" supportAdvancedDrill="1" xr:uid="{9173EA1E-E12D-4B9E-B4BC-1CB09C782E83}">
  <cacheSource type="external" connectionId="2"/>
  <cacheFields count="2">
    <cacheField name="[Hospital Emergency Room Data].[Patient Admission Date (Month)].[Patient Admission Date (Month)]" caption="Patient Admission Date (Month)" numFmtId="0" hierarchy="14" level="1">
      <sharedItems count="12">
        <s v="Jan"/>
        <s v="Feb"/>
        <s v="Mar"/>
        <s v="Apr"/>
        <s v="May"/>
        <s v="Jun"/>
        <s v="Jul"/>
        <s v="Aug"/>
        <s v="Sep"/>
        <s v="Oct"/>
        <s v="Nov"/>
        <s v="Dec"/>
      </sharedItems>
    </cacheField>
    <cacheField name="[Hospital Emergency Room Data].[Patient Admission Date (Year)].[Patient Admission Date (Year)]" caption="Patient Admission Date (Year)" numFmtId="0" hierarchy="12" level="1">
      <sharedItems count="2">
        <s v="2023"/>
        <s v="2024"/>
      </sharedItems>
    </cacheField>
  </cacheFields>
  <cacheHierarchies count="29">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Age Range]" caption="Age Range" attribute="1" defaultMemberUniqueName="[Hospital Emergency Room Data].[Age Range].[All]" allUniqueName="[Hospital Emergency Room Data].[Age Range].[All]" dimensionUniqueName="[Hospital Emergency Room Data]" displayFolder="" count="0" memberValueDatatype="13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fieldsUsage count="2">
        <fieldUsage x="-1"/>
        <fieldUsage x="1"/>
      </fieldsUsage>
    </cacheHierarchy>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fieldsUsage count="2">
        <fieldUsage x="-1"/>
        <fieldUsage x="0"/>
      </fieldsUsage>
    </cacheHierarchy>
    <cacheHierarchy uniqueName="[Hospital Emergency Room Data].[Count more thn1]" caption="Count more thn1" attribute="1" defaultMemberUniqueName="[Hospital Emergency Room Data].[Count more thn1].[All]" allUniqueName="[Hospital Emergency Room Data].[Count more thn1].[All]" dimensionUniqueName="[Hospital Emergency Room Data]" displayFolder="" count="0" memberValueDatatype="20" unbalanced="0"/>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Count of Patient more than 1]" caption="Count of Patient more than 1" measure="1" displayFolder="" measureGroup="Hospital Emergency Room Data" count="0"/>
    <cacheHierarchy uniqueName="[Measures].[True/False]" caption="True/False" measure="1" displayFolder="" measureGroup="Hospital Emergency Room Data" count="0"/>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0"/>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3"/>
        </ext>
      </extLst>
    </cacheHierarchy>
    <cacheHierarchy uniqueName="[Measures].[Count of Patient Admission Date (Month)]" caption="Count of Patient Admission Date (Month)"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2">
    <dimension name="Hospital Emergency Room Data" uniqueName="[Hospital Emergency Room Data]" caption="Hospital Emergency Room Data"/>
    <dimension measure="1" name="Measures" uniqueName="[Measures]" caption="Measures"/>
  </dimensions>
  <measureGroups count="1">
    <measureGroup name="Hospital Emergency Room Data" caption="Hospital Emergency Room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ini Pintu" refreshedDate="45837.165115277778" backgroundQuery="1" createdVersion="8" refreshedVersion="8" minRefreshableVersion="3" recordCount="0" supportSubquery="1" supportAdvancedDrill="1" xr:uid="{6FC54346-832C-4B8E-8139-2E3780F6C718}">
  <cacheSource type="external" connectionId="2"/>
  <cacheFields count="3">
    <cacheField name="[Hospital Emergency Room Data].[Patient Admission Flag].[Patient Admission Flag]" caption="Patient Admission Flag" numFmtId="0" hierarchy="9" level="1">
      <sharedItems count="2">
        <s v="Admitted"/>
        <s v="Not Admitted"/>
      </sharedItems>
    </cacheField>
    <cacheField name="[Measures].[Count of Patient Admission Flag]" caption="Count of Patient Admission Flag" numFmtId="0" hierarchy="28" level="32767"/>
    <cacheField name="[Hospital Emergency Room Data].[Patient Admission Date (Year)].[Patient Admission Date (Year)]" caption="Patient Admission Date (Year)" numFmtId="0" hierarchy="12" level="1">
      <sharedItems containsSemiMixedTypes="0" containsNonDate="0" containsString="0"/>
    </cacheField>
  </cacheFields>
  <cacheHierarchies count="29">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Age Range]" caption="Age Range" attribute="1" defaultMemberUniqueName="[Hospital Emergency Room Data].[Age Range].[All]" allUniqueName="[Hospital Emergency Room Data].[Age Range].[All]" dimensionUniqueName="[Hospital Emergency Room Data]" displayFolder="" count="0" memberValueDatatype="13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0"/>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fieldsUsage count="2">
        <fieldUsage x="-1"/>
        <fieldUsage x="2"/>
      </fieldsUsage>
    </cacheHierarchy>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cacheHierarchy uniqueName="[Hospital Emergency Room Data].[Count more thn1]" caption="Count more thn1" attribute="1" defaultMemberUniqueName="[Hospital Emergency Room Data].[Count more thn1].[All]" allUniqueName="[Hospital Emergency Room Data].[Count more thn1].[All]" dimensionUniqueName="[Hospital Emergency Room Data]" displayFolder="" count="0" memberValueDatatype="20" unbalanced="0"/>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Count of Patient more than 1]" caption="Count of Patient more than 1" measure="1" displayFolder="" measureGroup="Hospital Emergency Room Data" count="0"/>
    <cacheHierarchy uniqueName="[Measures].[True/False]" caption="True/False" measure="1" displayFolder="" measureGroup="Hospital Emergency Room Data" count="0"/>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0"/>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3"/>
        </ext>
      </extLst>
    </cacheHierarchy>
    <cacheHierarchy uniqueName="[Measures].[Count of Patient Admission Date (Month)]" caption="Count of Patient Admission Date (Month)"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oneField="1" hidden="1">
      <fieldsUsage count="1">
        <fieldUsage x="1"/>
      </fieldsUsage>
      <extLst>
        <ext xmlns:x15="http://schemas.microsoft.com/office/spreadsheetml/2010/11/main" uri="{B97F6D7D-B522-45F9-BDA1-12C45D357490}">
          <x15:cacheHierarchy aggregatedColumn="9"/>
        </ext>
      </extLst>
    </cacheHierarchy>
  </cacheHierarchies>
  <kpis count="0"/>
  <dimensions count="2">
    <dimension name="Hospital Emergency Room Data" uniqueName="[Hospital Emergency Room Data]" caption="Hospital Emergency Room Data"/>
    <dimension measure="1" name="Measures" uniqueName="[Measures]" caption="Measures"/>
  </dimensions>
  <measureGroups count="1">
    <measureGroup name="Hospital Emergency Room Data" caption="Hospital Emergency Room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ini Pintu" refreshedDate="45837.174110300926" backgroundQuery="1" createdVersion="8" refreshedVersion="8" minRefreshableVersion="3" recordCount="0" supportSubquery="1" supportAdvancedDrill="1" xr:uid="{8E31A980-D174-4496-8004-BB18753C57D0}">
  <cacheSource type="external" connectionId="2"/>
  <cacheFields count="3">
    <cacheField name="[Measures].[Count of Patient Id]" caption="Count of Patient Id" numFmtId="0" hierarchy="21" level="32767"/>
    <cacheField name="[Hospital Emergency Room Data].[Patient Gender].[Patient Gender]" caption="Patient Gender" numFmtId="0" hierarchy="4" level="1">
      <sharedItems count="2">
        <s v="Female"/>
        <s v="Male"/>
      </sharedItems>
    </cacheField>
    <cacheField name="[Hospital Emergency Room Data].[Patient Admission Date (Month)].[Patient Admission Date (Month)]" caption="Patient Admission Date (Month)" numFmtId="0" hierarchy="14" level="1">
      <sharedItems containsSemiMixedTypes="0" containsNonDate="0" containsString="0"/>
    </cacheField>
  </cacheFields>
  <cacheHierarchies count="29">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Age Range]" caption="Age Range" attribute="1" defaultMemberUniqueName="[Hospital Emergency Room Data].[Age Range].[All]" allUniqueName="[Hospital Emergency Room Data].[Age Range].[All]" dimensionUniqueName="[Hospital Emergency Room Data]" displayFolder="" count="0" memberValueDatatype="13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fieldsUsage count="2">
        <fieldUsage x="-1"/>
        <fieldUsage x="2"/>
      </fieldsUsage>
    </cacheHierarchy>
    <cacheHierarchy uniqueName="[Hospital Emergency Room Data].[Count more thn1]" caption="Count more thn1" attribute="1" defaultMemberUniqueName="[Hospital Emergency Room Data].[Count more thn1].[All]" allUniqueName="[Hospital Emergency Room Data].[Count more thn1].[All]" dimensionUniqueName="[Hospital Emergency Room Data]" displayFolder="" count="0" memberValueDatatype="20" unbalanced="0"/>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Count of Patient more than 1]" caption="Count of Patient more than 1" measure="1" displayFolder="" measureGroup="Hospital Emergency Room Data" count="0"/>
    <cacheHierarchy uniqueName="[Measures].[True/False]" caption="True/False" measure="1" displayFolder="" measureGroup="Hospital Emergency Room Data" count="0"/>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3"/>
        </ext>
      </extLst>
    </cacheHierarchy>
    <cacheHierarchy uniqueName="[Measures].[Count of Patient Admission Date (Month)]" caption="Count of Patient Admission Date (Month)"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2">
    <dimension name="Hospital Emergency Room Data" uniqueName="[Hospital Emergency Room Data]" caption="Hospital Emergency Room Data"/>
    <dimension measure="1" name="Measures" uniqueName="[Measures]" caption="Measures"/>
  </dimensions>
  <measureGroups count="1">
    <measureGroup name="Hospital Emergency Room Data" caption="Hospital Emergency Room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ini Pintu" refreshedDate="45837.17411064815" backgroundQuery="1" createdVersion="8" refreshedVersion="8" minRefreshableVersion="3" recordCount="0" supportSubquery="1" supportAdvancedDrill="1" xr:uid="{17CEA7E2-920B-4F7B-AC62-E915E44DD49E}">
  <cacheSource type="external" connectionId="2"/>
  <cacheFields count="3">
    <cacheField name="[Measures].[Count of Patient Id]" caption="Count of Patient Id" numFmtId="0" hierarchy="21" level="32767"/>
    <cacheField name="[Hospital Emergency Room Data].[Age Range].[Age Range]" caption="Age Range" numFmtId="0" hierarchy="6" level="1">
      <sharedItems count="4">
        <s v="0-20"/>
        <s v="21-40"/>
        <s v="41-60"/>
        <s v="61-80"/>
      </sharedItems>
    </cacheField>
    <cacheField name="[Hospital Emergency Room Data].[Patient Admission Date (Month)].[Patient Admission Date (Month)]" caption="Patient Admission Date (Month)" numFmtId="0" hierarchy="14" level="1">
      <sharedItems containsSemiMixedTypes="0" containsNonDate="0" containsString="0"/>
    </cacheField>
  </cacheFields>
  <cacheHierarchies count="29">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Age Range]" caption="Age Range" attribute="1" defaultMemberUniqueName="[Hospital Emergency Room Data].[Age Range].[All]" allUniqueName="[Hospital Emergency Room Data].[Age Range].[All]" dimensionUniqueName="[Hospital Emergency Room Data]" displayFolder="" count="2" memberValueDatatype="130" unbalanced="0">
      <fieldsUsage count="2">
        <fieldUsage x="-1"/>
        <fieldUsage x="1"/>
      </fieldsUsage>
    </cacheHierarchy>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fieldsUsage count="2">
        <fieldUsage x="-1"/>
        <fieldUsage x="2"/>
      </fieldsUsage>
    </cacheHierarchy>
    <cacheHierarchy uniqueName="[Hospital Emergency Room Data].[Count more thn1]" caption="Count more thn1" attribute="1" defaultMemberUniqueName="[Hospital Emergency Room Data].[Count more thn1].[All]" allUniqueName="[Hospital Emergency Room Data].[Count more thn1].[All]" dimensionUniqueName="[Hospital Emergency Room Data]" displayFolder="" count="0" memberValueDatatype="20" unbalanced="0"/>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Count of Patient more than 1]" caption="Count of Patient more than 1" measure="1" displayFolder="" measureGroup="Hospital Emergency Room Data" count="0"/>
    <cacheHierarchy uniqueName="[Measures].[True/False]" caption="True/False" measure="1" displayFolder="" measureGroup="Hospital Emergency Room Data" count="0"/>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3"/>
        </ext>
      </extLst>
    </cacheHierarchy>
    <cacheHierarchy uniqueName="[Measures].[Count of Patient Admission Date (Month)]" caption="Count of Patient Admission Date (Month)"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2">
    <dimension name="Hospital Emergency Room Data" uniqueName="[Hospital Emergency Room Data]" caption="Hospital Emergency Room Data"/>
    <dimension measure="1" name="Measures" uniqueName="[Measures]" caption="Measures"/>
  </dimensions>
  <measureGroups count="1">
    <measureGroup name="Hospital Emergency Room Data" caption="Hospital Emergency Room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ini Pintu" refreshedDate="45837.174110995373" backgroundQuery="1" createdVersion="8" refreshedVersion="8" minRefreshableVersion="3" recordCount="0" supportSubquery="1" supportAdvancedDrill="1" xr:uid="{EEADFB6E-BCB0-484D-894C-460926C6B047}">
  <cacheSource type="external" connectionId="2"/>
  <cacheFields count="3">
    <cacheField name="[Measures].[Count of Patient Id]" caption="Count of Patient Id" numFmtId="0" hierarchy="21" level="32767"/>
    <cacheField name="[Hospital Emergency Room Data].[Patient Admission Date (Month)].[Patient Admission Date (Month)]" caption="Patient Admission Date (Month)" numFmtId="0" hierarchy="14" level="1">
      <sharedItems count="1">
        <s v="Oct"/>
      </sharedItems>
    </cacheField>
    <cacheField name="[Hospital Emergency Room Data].[Patient Admission Date (Year)].[Patient Admission Date (Year)]" caption="Patient Admission Date (Year)" numFmtId="0" hierarchy="12" level="1">
      <sharedItems containsSemiMixedTypes="0" containsNonDate="0" containsString="0"/>
    </cacheField>
  </cacheFields>
  <cacheHierarchies count="29">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Age Range]" caption="Age Range" attribute="1" defaultMemberUniqueName="[Hospital Emergency Room Data].[Age Range].[All]" allUniqueName="[Hospital Emergency Room Data].[Age Range].[All]" dimensionUniqueName="[Hospital Emergency Room Data]" displayFolder="" count="0" memberValueDatatype="13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fieldsUsage count="2">
        <fieldUsage x="-1"/>
        <fieldUsage x="2"/>
      </fieldsUsage>
    </cacheHierarchy>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fieldsUsage count="2">
        <fieldUsage x="-1"/>
        <fieldUsage x="1"/>
      </fieldsUsage>
    </cacheHierarchy>
    <cacheHierarchy uniqueName="[Hospital Emergency Room Data].[Count more thn1]" caption="Count more thn1" attribute="1" defaultMemberUniqueName="[Hospital Emergency Room Data].[Count more thn1].[All]" allUniqueName="[Hospital Emergency Room Data].[Count more thn1].[All]" dimensionUniqueName="[Hospital Emergency Room Data]" displayFolder="" count="0" memberValueDatatype="20" unbalanced="0"/>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Count of Patient more than 1]" caption="Count of Patient more than 1" measure="1" displayFolder="" measureGroup="Hospital Emergency Room Data" count="0"/>
    <cacheHierarchy uniqueName="[Measures].[True/False]" caption="True/False" measure="1" displayFolder="" measureGroup="Hospital Emergency Room Data" count="0"/>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3"/>
        </ext>
      </extLst>
    </cacheHierarchy>
    <cacheHierarchy uniqueName="[Measures].[Count of Patient Admission Date (Month)]" caption="Count of Patient Admission Date (Month)"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2">
    <dimension name="Hospital Emergency Room Data" uniqueName="[Hospital Emergency Room Data]" caption="Hospital Emergency Room Data"/>
    <dimension measure="1" name="Measures" uniqueName="[Measures]" caption="Measures"/>
  </dimensions>
  <measureGroups count="1">
    <measureGroup name="Hospital Emergency Room Data" caption="Hospital Emergency Room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ini Pintu" refreshedDate="45837.174111342596" backgroundQuery="1" createdVersion="8" refreshedVersion="8" minRefreshableVersion="3" recordCount="0" supportSubquery="1" supportAdvancedDrill="1" xr:uid="{1144419D-E76B-44A6-A506-274C69774A38}">
  <cacheSource type="external" connectionId="2"/>
  <cacheFields count="3">
    <cacheField name="[Hospital Emergency Room Data].[Patient Admission Date (Year)].[Patient Admission Date (Year)]" caption="Patient Admission Date (Year)" numFmtId="0" hierarchy="12" level="1">
      <sharedItems count="2">
        <s v="2023"/>
        <s v="2024"/>
      </sharedItems>
    </cacheField>
    <cacheField name="[Measures].[Average of Patient Waittime]" caption="Average of Patient Waittime" numFmtId="0" hierarchy="23" level="32767"/>
    <cacheField name="[Hospital Emergency Room Data].[Patient Admission Date (Month)].[Patient Admission Date (Month)]" caption="Patient Admission Date (Month)" numFmtId="0" hierarchy="14" level="1">
      <sharedItems containsSemiMixedTypes="0" containsNonDate="0" containsString="0"/>
    </cacheField>
  </cacheFields>
  <cacheHierarchies count="29">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Age Range]" caption="Age Range" attribute="1" defaultMemberUniqueName="[Hospital Emergency Room Data].[Age Range].[All]" allUniqueName="[Hospital Emergency Room Data].[Age Range].[All]" dimensionUniqueName="[Hospital Emergency Room Data]" displayFolder="" count="0" memberValueDatatype="13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fieldsUsage count="2">
        <fieldUsage x="-1"/>
        <fieldUsage x="0"/>
      </fieldsUsage>
    </cacheHierarchy>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fieldsUsage count="2">
        <fieldUsage x="-1"/>
        <fieldUsage x="2"/>
      </fieldsUsage>
    </cacheHierarchy>
    <cacheHierarchy uniqueName="[Hospital Emergency Room Data].[Count more thn1]" caption="Count more thn1" attribute="1" defaultMemberUniqueName="[Hospital Emergency Room Data].[Count more thn1].[All]" allUniqueName="[Hospital Emergency Room Data].[Count more thn1].[All]" dimensionUniqueName="[Hospital Emergency Room Data]" displayFolder="" count="0" memberValueDatatype="20" unbalanced="0"/>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Count of Patient more than 1]" caption="Count of Patient more than 1" measure="1" displayFolder="" measureGroup="Hospital Emergency Room Data" count="0"/>
    <cacheHierarchy uniqueName="[Measures].[True/False]" caption="True/False" measure="1" displayFolder="" measureGroup="Hospital Emergency Room Data" count="0"/>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0"/>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Average of Patient Waittime]" caption="Average of Patient Waittime" measure="1" displayFolder="" measureGroup="Hospital Emergency Room Data"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3"/>
        </ext>
      </extLst>
    </cacheHierarchy>
    <cacheHierarchy uniqueName="[Measures].[Count of Patient Admission Date (Month)]" caption="Count of Patient Admission Date (Month)"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2">
    <dimension name="Hospital Emergency Room Data" uniqueName="[Hospital Emergency Room Data]" caption="Hospital Emergency Room Data"/>
    <dimension measure="1" name="Measures" uniqueName="[Measures]" caption="Measures"/>
  </dimensions>
  <measureGroups count="1">
    <measureGroup name="Hospital Emergency Room Data" caption="Hospital Emergency Room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ini Pintu" refreshedDate="45837.174111805558" backgroundQuery="1" createdVersion="8" refreshedVersion="8" minRefreshableVersion="3" recordCount="0" supportSubquery="1" supportAdvancedDrill="1" xr:uid="{B8B2C920-F3A7-46E8-8BD2-21FE7AAC8AF0}">
  <cacheSource type="external" connectionId="2"/>
  <cacheFields count="3">
    <cacheField name="[Hospital Emergency Room Data].[Patient Name].[Patient Name]" caption="Patient Name" numFmtId="0" hierarchy="3" level="1">
      <sharedItems count="1">
        <s v="R Mallia"/>
      </sharedItems>
    </cacheField>
    <cacheField name="[Measures].[Count of Patient Name]" caption="Count of Patient Name" numFmtId="0" hierarchy="26" level="32767"/>
    <cacheField name="[Hospital Emergency Room Data].[Patient Admission Date (Month)].[Patient Admission Date (Month)]" caption="Patient Admission Date (Month)" numFmtId="0" hierarchy="14" level="1">
      <sharedItems containsSemiMixedTypes="0" containsNonDate="0" containsString="0"/>
    </cacheField>
  </cacheFields>
  <cacheHierarchies count="29">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2" memberValueDatatype="130" unbalanced="0">
      <fieldsUsage count="2">
        <fieldUsage x="-1"/>
        <fieldUsage x="0"/>
      </fieldsUsage>
    </cacheHierarchy>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Age Range]" caption="Age Range" attribute="1" defaultMemberUniqueName="[Hospital Emergency Room Data].[Age Range].[All]" allUniqueName="[Hospital Emergency Room Data].[Age Range].[All]" dimensionUniqueName="[Hospital Emergency Room Data]" displayFolder="" count="0" memberValueDatatype="13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fieldsUsage count="2">
        <fieldUsage x="-1"/>
        <fieldUsage x="2"/>
      </fieldsUsage>
    </cacheHierarchy>
    <cacheHierarchy uniqueName="[Hospital Emergency Room Data].[Count more thn1]" caption="Count more thn1" attribute="1" defaultMemberUniqueName="[Hospital Emergency Room Data].[Count more thn1].[All]" allUniqueName="[Hospital Emergency Room Data].[Count more thn1].[All]" dimensionUniqueName="[Hospital Emergency Room Data]" displayFolder="" count="0" memberValueDatatype="20" unbalanced="0"/>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Count of Patient more than 1]" caption="Count of Patient more than 1" measure="1" displayFolder="" measureGroup="Hospital Emergency Room Data" count="0"/>
    <cacheHierarchy uniqueName="[Measures].[True/False]" caption="True/False" measure="1" displayFolder="" measureGroup="Hospital Emergency Room Data" count="0"/>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0"/>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Name]" caption="Count of Patient Name" measure="1" displayFolder="" measureGroup="Hospital Emergency Room Data" count="0" oneField="1" hidden="1">
      <fieldsUsage count="1">
        <fieldUsage x="1"/>
      </fieldsUsage>
      <extLst>
        <ext xmlns:x15="http://schemas.microsoft.com/office/spreadsheetml/2010/11/main" uri="{B97F6D7D-B522-45F9-BDA1-12C45D357490}">
          <x15:cacheHierarchy aggregatedColumn="3"/>
        </ext>
      </extLst>
    </cacheHierarchy>
    <cacheHierarchy uniqueName="[Measures].[Count of Patient Admission Date (Month)]" caption="Count of Patient Admission Date (Month)"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2">
    <dimension name="Hospital Emergency Room Data" uniqueName="[Hospital Emergency Room Data]" caption="Hospital Emergency Room Data"/>
    <dimension measure="1" name="Measures" uniqueName="[Measures]" caption="Measures"/>
  </dimensions>
  <measureGroups count="1">
    <measureGroup name="Hospital Emergency Room Data" caption="Hospital Emergency Room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ini Pintu" refreshedDate="45837.174112152781" backgroundQuery="1" createdVersion="8" refreshedVersion="8" minRefreshableVersion="3" recordCount="0" supportSubquery="1" supportAdvancedDrill="1" xr:uid="{06217117-9D92-45E2-8760-7965DC8990AB}">
  <cacheSource type="external" connectionId="2"/>
  <cacheFields count="3">
    <cacheField name="[Measures].[Average of Patient Satisfaction Score]" caption="Average of Patient Satisfaction Score" numFmtId="0" hierarchy="25" level="32767"/>
    <cacheField name="[Hospital Emergency Room Data].[Patient Admission Date (Year)].[Patient Admission Date (Year)]" caption="Patient Admission Date (Year)" numFmtId="0" hierarchy="12" level="1">
      <sharedItems count="2">
        <s v="2023"/>
        <s v="2024"/>
      </sharedItems>
    </cacheField>
    <cacheField name="[Hospital Emergency Room Data].[Patient Admission Date (Month)].[Patient Admission Date (Month)]" caption="Patient Admission Date (Month)" numFmtId="0" hierarchy="14" level="1">
      <sharedItems containsSemiMixedTypes="0" containsNonDate="0" containsString="0"/>
    </cacheField>
  </cacheFields>
  <cacheHierarchies count="29">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Age Range]" caption="Age Range" attribute="1" defaultMemberUniqueName="[Hospital Emergency Room Data].[Age Range].[All]" allUniqueName="[Hospital Emergency Room Data].[Age Range].[All]" dimensionUniqueName="[Hospital Emergency Room Data]" displayFolder="" count="0" memberValueDatatype="13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fieldsUsage count="2">
        <fieldUsage x="-1"/>
        <fieldUsage x="1"/>
      </fieldsUsage>
    </cacheHierarchy>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fieldsUsage count="2">
        <fieldUsage x="-1"/>
        <fieldUsage x="2"/>
      </fieldsUsage>
    </cacheHierarchy>
    <cacheHierarchy uniqueName="[Hospital Emergency Room Data].[Count more thn1]" caption="Count more thn1" attribute="1" defaultMemberUniqueName="[Hospital Emergency Room Data].[Count more thn1].[All]" allUniqueName="[Hospital Emergency Room Data].[Count more thn1].[All]" dimensionUniqueName="[Hospital Emergency Room Data]" displayFolder="" count="0" memberValueDatatype="20" unbalanced="0"/>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Count of Patient more than 1]" caption="Count of Patient more than 1" measure="1" displayFolder="" measureGroup="Hospital Emergency Room Data" count="0"/>
    <cacheHierarchy uniqueName="[Measures].[True/False]" caption="True/False" measure="1" displayFolder="" measureGroup="Hospital Emergency Room Data" count="0"/>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0"/>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3"/>
        </ext>
      </extLst>
    </cacheHierarchy>
    <cacheHierarchy uniqueName="[Measures].[Count of Patient Admission Date (Month)]" caption="Count of Patient Admission Date (Month)"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2">
    <dimension name="Hospital Emergency Room Data" uniqueName="[Hospital Emergency Room Data]" caption="Hospital Emergency Room Data"/>
    <dimension measure="1" name="Measures" uniqueName="[Measures]" caption="Measures"/>
  </dimensions>
  <measureGroups count="1">
    <measureGroup name="Hospital Emergency Room Data" caption="Hospital Emergency Room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ini Pintu" refreshedDate="45837.174112499997" backgroundQuery="1" createdVersion="8" refreshedVersion="8" minRefreshableVersion="3" recordCount="0" supportSubquery="1" supportAdvancedDrill="1" xr:uid="{89E4EE9B-0D7B-4A0C-878E-7B5095AE1A7B}">
  <cacheSource type="external" connectionId="2"/>
  <cacheFields count="3">
    <cacheField name="[Hospital Emergency Room Data].[Department Referral].[Department Referral]" caption="Department Referral" numFmtId="0" hierarchy="8" level="1">
      <sharedItems count="7">
        <s v="Cardiology"/>
        <s v="Gastroenterology"/>
        <s v="General Practice"/>
        <s v="Neurology"/>
        <s v="Orthopedics"/>
        <s v="Physiotherapy"/>
        <s v="Renal"/>
      </sharedItems>
    </cacheField>
    <cacheField name="[Measures].[Count of Patient Id]" caption="Count of Patient Id" numFmtId="0" hierarchy="21" level="32767"/>
    <cacheField name="[Hospital Emergency Room Data].[Patient Admission Date (Month)].[Patient Admission Date (Month)]" caption="Patient Admission Date (Month)" numFmtId="0" hierarchy="14" level="1">
      <sharedItems containsSemiMixedTypes="0" containsNonDate="0" containsString="0"/>
    </cacheField>
  </cacheFields>
  <cacheHierarchies count="29">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Age Range]" caption="Age Range" attribute="1" defaultMemberUniqueName="[Hospital Emergency Room Data].[Age Range].[All]" allUniqueName="[Hospital Emergency Room Data].[Age Range].[All]" dimensionUniqueName="[Hospital Emergency Room Data]" displayFolder="" count="2" memberValueDatatype="13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0"/>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2"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fieldsUsage count="2">
        <fieldUsage x="-1"/>
        <fieldUsage x="2"/>
      </fieldsUsage>
    </cacheHierarchy>
    <cacheHierarchy uniqueName="[Hospital Emergency Room Data].[Count more thn1]" caption="Count more thn1" attribute="1" defaultMemberUniqueName="[Hospital Emergency Room Data].[Count more thn1].[All]" allUniqueName="[Hospital Emergency Room Data].[Count more thn1].[All]" dimensionUniqueName="[Hospital Emergency Room Data]" displayFolder="" count="2" memberValueDatatype="20" unbalanced="0"/>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2" memberValueDatatype="20" unbalanced="0" hidden="1"/>
    <cacheHierarchy uniqueName="[Measures].[Count of Patient more than 1]" caption="Count of Patient more than 1" measure="1" displayFolder="" measureGroup="Hospital Emergency Room Data" count="0"/>
    <cacheHierarchy uniqueName="[Measures].[True/False]" caption="True/False" measure="1" displayFolder="" measureGroup="Hospital Emergency Room Data" count="0"/>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3"/>
        </ext>
      </extLst>
    </cacheHierarchy>
    <cacheHierarchy uniqueName="[Measures].[Count of Patient Admission Date (Month)]" caption="Count of Patient Admission Date (Month)"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2">
    <dimension name="Hospital Emergency Room Data" uniqueName="[Hospital Emergency Room Data]" caption="Hospital Emergency Room Data"/>
    <dimension measure="1" name="Measures" uniqueName="[Measures]" caption="Measures"/>
  </dimensions>
  <measureGroups count="1">
    <measureGroup name="Hospital Emergency Room Data" caption="Hospital Emergency Room 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rshini Pintu" refreshedDate="45837.133043981485" backgroundQuery="1" createdVersion="3" refreshedVersion="8" minRefreshableVersion="3" recordCount="0" supportSubquery="1" supportAdvancedDrill="1" xr:uid="{5A6035F1-6594-4743-BE57-4CB9E208DC34}">
  <cacheSource type="external" connectionId="2">
    <extLst>
      <ext xmlns:x14="http://schemas.microsoft.com/office/spreadsheetml/2009/9/main" uri="{F057638F-6D5F-4e77-A914-E7F072B9BCA8}">
        <x14:sourceConnection name="ThisWorkbookDataModel"/>
      </ext>
    </extLst>
  </cacheSource>
  <cacheFields count="0"/>
  <cacheHierarchies count="29">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Age Range]" caption="Age Range" attribute="1" defaultMemberUniqueName="[Hospital Emergency Room Data].[Age Range].[All]" allUniqueName="[Hospital Emergency Room Data].[Age Range].[All]" dimensionUniqueName="[Hospital Emergency Room Data]" displayFolder="" count="0" memberValueDatatype="13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Date (Year)]" caption="Patient Admission Date (Year)" attribute="1" defaultMemberUniqueName="[Hospital Emergency Room Data].[Patient Admission Date (Year)].[All]" allUniqueName="[Hospital Emergency Room Data].[Patient Admission Date (Year)].[All]" dimensionUniqueName="[Hospital Emergency Room Data]" displayFolder="" count="2" memberValueDatatype="130" unbalanced="0"/>
    <cacheHierarchy uniqueName="[Hospital Emergency Room Data].[Patient Admission Date (Quarter)]" caption="Patient Admission Date (Quarter)" attribute="1" defaultMemberUniqueName="[Hospital Emergency Room Data].[Patient Admission Date (Quarter)].[All]" allUniqueName="[Hospital Emergency Room Data].[Patient Admission Date (Quarter)].[All]" dimensionUniqueName="[Hospital Emergency Room Data]" displayFolder="" count="0" memberValueDatatype="130" unbalanced="0"/>
    <cacheHierarchy uniqueName="[Hospital Emergency Room Data].[Patient Admission Date (Month)]" caption="Patient Admission Date (Month)" attribute="1" defaultMemberUniqueName="[Hospital Emergency Room Data].[Patient Admission Date (Month)].[All]" allUniqueName="[Hospital Emergency Room Data].[Patient Admission Date (Month)].[All]" dimensionUniqueName="[Hospital Emergency Room Data]" displayFolder="" count="2" memberValueDatatype="130" unbalanced="0"/>
    <cacheHierarchy uniqueName="[Hospital Emergency Room Data].[Count more thn1]" caption="Count more thn1" attribute="1" defaultMemberUniqueName="[Hospital Emergency Room Data].[Count more thn1].[All]" allUniqueName="[Hospital Emergency Room Data].[Count more thn1].[All]" dimensionUniqueName="[Hospital Emergency Room Data]" displayFolder="" count="0" memberValueDatatype="20" unbalanced="0"/>
    <cacheHierarchy uniqueName="[Hospital Emergency Room Data].[Patient Admission Date (Month Index)]" caption="Patient Admission Date (Month Index)" attribute="1" defaultMemberUniqueName="[Hospital Emergency Room Data].[Patient Admission Date (Month Index)].[All]" allUniqueName="[Hospital Emergency Room Data].[Patient Admission Date (Month Index)].[All]" dimensionUniqueName="[Hospital Emergency Room Data]" displayFolder="" count="0" memberValueDatatype="20" unbalanced="0" hidden="1"/>
    <cacheHierarchy uniqueName="[Measures].[Count of Patient more than 1]" caption="Count of Patient more than 1" measure="1" displayFolder="" measureGroup="Hospital Emergency Room Data" count="0"/>
    <cacheHierarchy uniqueName="[Measures].[True/False]" caption="True/False" measure="1" displayFolder="" measureGroup="Hospital Emergency Room Data" count="0"/>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0"/>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1"/>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Patient Name]" caption="Count of Patient Name" measure="1" displayFolder="" measureGroup="Hospital Emergency Room Data" count="0" hidden="1">
      <extLst>
        <ext xmlns:x15="http://schemas.microsoft.com/office/spreadsheetml/2010/11/main" uri="{B97F6D7D-B522-45F9-BDA1-12C45D357490}">
          <x15:cacheHierarchy aggregatedColumn="3"/>
        </ext>
      </extLst>
    </cacheHierarchy>
    <cacheHierarchy uniqueName="[Measures].[Count of Patient Admission Date (Month)]" caption="Count of Patient Admission Date (Month)"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90424801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3B916D-4204-4EA9-B137-6CACB4055059}" name="PivotTable5" cacheId="4" applyNumberFormats="0" applyBorderFormats="0" applyFontFormats="0" applyPatternFormats="0" applyAlignmentFormats="0" applyWidthHeightFormats="1" dataCaption="Values" tag="fb132ee5-2bfa-476b-8bd9-e1221751240b" updatedVersion="8" minRefreshableVersion="3" useAutoFormatting="1" itemPrintTitles="1" createdVersion="8" indent="0" outline="1" outlineData="1" multipleFieldFilters="0" chartFormat="21">
  <location ref="I12:J17"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Total Patient" fld="0" subtotal="count" baseField="0" baseItem="0"/>
  </dataFields>
  <chartFormats count="1">
    <chartFormat chart="20"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Hospital Emergency Room Data].[Patient Admission Date (Month)].&amp;[Oct]"/>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tie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F21703-03EE-43BD-8F89-71792F4502EB}" name="PivotTable15" cacheId="6" applyNumberFormats="0" applyBorderFormats="0" applyFontFormats="0" applyPatternFormats="0" applyAlignmentFormats="0" applyWidthHeightFormats="1" dataCaption="Values" tag="794e8249-5f11-4e6c-8b2e-eedce22b4616" updatedVersion="8" minRefreshableVersion="3" useAutoFormatting="1" rowGrandTotals="0" colGrandTotals="0" itemPrintTitles="1" createdVersion="8" indent="0" outline="1" outlineData="1" multipleFieldFilters="0">
  <location ref="F48:G50"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name="Average of Patient Waittime" fld="1" subtotal="average" baseField="0" baseItem="0" numFmtId="4"/>
  </dataFields>
  <formats count="6">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outline="0" axis="axisValues" fieldPosition="0"/>
    </format>
    <format dxfId="0">
      <pivotArea dataOnly="0" labelOnly="1" outline="0" axis="axisValues" fieldPosition="0"/>
    </format>
  </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Hospital Emergency Room Data].[Patient Admission Date (Month)].&amp;[Oct]"/>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tient"/>
    <pivotHierarchy dragToData="1"/>
    <pivotHierarchy dragToData="1" caption="Average of Patient Waittim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70068E1-B29F-4B85-AC2B-3D8E612C963B}" name="PivotTable4" cacheId="3" applyNumberFormats="0" applyBorderFormats="0" applyFontFormats="0" applyPatternFormats="0" applyAlignmentFormats="0" applyWidthHeightFormats="1" dataCaption="Values" tag="68b34832-8c35-4fe1-bc01-ebb58bc1481b" updatedVersion="8" minRefreshableVersion="3" useAutoFormatting="1" itemPrintTitles="1" createdVersion="8" indent="0" outline="1" outlineData="1" multipleFieldFilters="0">
  <location ref="I4:J7"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name="Total Patient" fld="0" subtotal="count" baseField="0" baseItem="0"/>
  </dataField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Hospital Emergency Room Data].[Patient Admission Date (Month)].&amp;[Oct]"/>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tie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06B410-75E8-47F6-91A0-B24AB4D1DE5A}" name="PivotTable9" cacheId="7" applyNumberFormats="0" applyBorderFormats="0" applyFontFormats="0" applyPatternFormats="0" applyAlignmentFormats="0" applyWidthHeightFormats="1" dataCaption="Values" tag="d61fe3de-846f-4999-9901-83ed85f959b5" updatedVersion="8" minRefreshableVersion="3" useAutoFormatting="1" subtotalHiddenItems="1" itemPrintTitles="1" createdVersion="8" indent="0" outline="1" outlineData="1" multipleFieldFilters="0" chartFormat="1">
  <location ref="O49:P51" firstHeaderRow="1" firstDataRow="1" firstDataCol="1"/>
  <pivotFields count="3">
    <pivotField axis="axisRow" allDrilled="1" subtotalTop="0" showAll="0" measureFilter="1" defaultSubtotal="0" defaultAttributeDrillState="1">
      <items count="1">
        <item x="0"/>
      </items>
    </pivotField>
    <pivotField dataField="1" subtotalTop="0" showAll="0" defaultSubtotal="0"/>
    <pivotField allDrilled="1" subtotalTop="0" showAll="0" dataSourceSort="1" defaultSubtotal="0" defaultAttributeDrillState="1"/>
  </pivotFields>
  <rowFields count="1">
    <field x="0"/>
  </rowFields>
  <rowItems count="2">
    <i>
      <x/>
    </i>
    <i t="grand">
      <x/>
    </i>
  </rowItems>
  <colItems count="1">
    <i/>
  </colItems>
  <dataFields count="1">
    <dataField name="Count of Patient Name" fld="1" subtotal="count" baseField="0" baseItem="0"/>
  </dataFields>
  <formats count="6">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0"/>
        </references>
      </pivotArea>
    </format>
    <format dxfId="7">
      <pivotArea dataOnly="0" labelOnly="1" grandRow="1" outline="0" fieldPosition="0"/>
    </format>
    <format dxfId="6">
      <pivotArea dataOnly="0" labelOnly="1" outline="0" axis="axisValues" fieldPosition="0"/>
    </format>
  </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Hospital Emergency Room Data].[Patient Admission Date (Month)].&amp;[Oct]"/>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tient"/>
    <pivotHierarchy dragToData="1"/>
    <pivotHierarchy dragToData="1"/>
    <pivotHierarchy dragToData="1"/>
    <pivotHierarchy dragToData="1" caption="Average of Patient Satisfaction Score"/>
    <pivotHierarchy dragToData="1"/>
    <pivotHierarchy dragToData="1"/>
    <pivotHierarchy dragToData="1"/>
  </pivotHierarchies>
  <pivotTableStyleInfo name="PivotStyleLight16" showRowHeaders="1" showColHeaders="1" showRowStripes="0" showColStripes="0" showLastColumn="1"/>
  <filters count="1">
    <filter fld="0" type="valueGreaterThan" id="2" iMeasureHier="26">
      <autoFilter ref="A1">
        <filterColumn colId="0">
          <customFilters>
            <customFilter operator="greaterThan" val="1"/>
          </customFilters>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2261A8-8151-49E7-87CA-70E4E1AFF03C}" name="PivotTable14" cacheId="1" applyNumberFormats="0" applyBorderFormats="0" applyFontFormats="0" applyPatternFormats="0" applyAlignmentFormats="0" applyWidthHeightFormats="1" dataCaption="Values" tag="fe17d1ff-ed54-4b93-8d90-d8c7546914f7" updatedVersion="8" minRefreshableVersion="3" useAutoFormatting="1" subtotalHiddenItems="1" rowGrandTotals="0" colGrandTotals="0" itemPrintTitles="1" createdVersion="8" indent="0" outline="1" outlineData="1" multipleFieldFilters="0" chartFormat="17">
  <location ref="L49:L51" firstHeaderRow="1" firstDataRow="1" firstDataCol="1"/>
  <pivotFields count="2">
    <pivotField allDrilled="1" subtotalTop="0" showAll="0" sortType="ascending"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2">
        <item x="0"/>
        <item x="1"/>
      </items>
    </pivotField>
  </pivotFields>
  <rowFields count="1">
    <field x="1"/>
  </rowFields>
  <rowItems count="2">
    <i>
      <x/>
    </i>
    <i>
      <x v="1"/>
    </i>
  </rowItems>
  <formats count="4">
    <format dxfId="15">
      <pivotArea field="1" type="button" dataOnly="0" labelOnly="1" outline="0" axis="axisRow" fieldPosition="0"/>
    </format>
    <format dxfId="14">
      <pivotArea type="all" dataOnly="0" outline="0" fieldPosition="0"/>
    </format>
    <format dxfId="13">
      <pivotArea field="1" type="button" dataOnly="0" labelOnly="1" outline="0" axis="axisRow" fieldPosition="0"/>
    </format>
    <format dxfId="12">
      <pivotArea dataOnly="0" labelOnly="1" fieldPosition="0">
        <references count="1">
          <reference field="1" count="0"/>
        </references>
      </pivotArea>
    </format>
  </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tie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A953588-3550-435B-81AE-AF08F0A46749}" name="PivotTable7" cacheId="9" applyNumberFormats="0" applyBorderFormats="0" applyFontFormats="0" applyPatternFormats="0" applyAlignmentFormats="0" applyWidthHeightFormats="1" dataCaption="Values" tag="1e899142-2dc7-4f9a-a365-948da07da568" updatedVersion="8" minRefreshableVersion="3" useAutoFormatting="1" subtotalHiddenItems="1" itemPrintTitles="1" createdVersion="8" indent="0" outline="1" outlineData="1" multipleFieldFilters="0" chartFormat="6">
  <location ref="L4:M12"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Patient Id" fld="1" subtotal="count" baseField="0" baseItem="0"/>
  </dataFields>
  <chartFormats count="1">
    <chartFormat chart="2" format="3"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members count="1" level="1">
        <member name="[Hospital Emergency Room Data].[Patient Admission Date (Month)].&amp;[Oct]"/>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tient"/>
    <pivotHierarchy dragToData="1"/>
    <pivotHierarchy dragToData="1"/>
    <pivotHierarchy dragToData="1"/>
    <pivotHierarchy dragToData="1" caption="Average of Patient Satisfaction Scor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D6C96E-CBC4-4485-9AF9-87C531604F32}" name="PivotTable13" cacheId="0" applyNumberFormats="0" applyBorderFormats="0" applyFontFormats="0" applyPatternFormats="0" applyAlignmentFormats="0" applyWidthHeightFormats="1" dataCaption="Values" tag="3585e6b4-1114-4372-a58e-26bc9e74a00d" updatedVersion="8" minRefreshableVersion="3" useAutoFormatting="1" subtotalHiddenItems="1" itemPrintTitles="1" createdVersion="8" indent="0" outline="1" outlineData="1" multipleFieldFilters="0" chartFormat="17">
  <location ref="F29:G42" firstHeaderRow="1" firstDataRow="1" firstDataCol="1" rowPageCount="1" colPageCount="1"/>
  <pivotFields count="3">
    <pivotField dataField="1" subtotalTop="0" showAll="0" defaultSubtotal="0"/>
    <pivotField axis="axisRow" allDrilled="1" subtotalTop="0" showAll="0" sortType="ascending" defaultSubtotal="0" defaultAttributeDrillState="1">
      <items count="12">
        <item x="0"/>
        <item x="1"/>
        <item x="2"/>
        <item x="3"/>
        <item x="4"/>
        <item x="5"/>
        <item x="6"/>
        <item x="7"/>
        <item x="8"/>
        <item x="9"/>
        <item x="10"/>
        <item x="11"/>
      </items>
    </pivotField>
    <pivotField axis="axisPage"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pageFields count="1">
    <pageField fld="2" hier="12" name="[Hospital Emergency Room Data].[Patient Admission Date (Year)].[All]" cap="All"/>
  </pageFields>
  <dataFields count="1">
    <dataField name="Total Patient" fld="0" subtotal="count" baseField="0" baseItem="0"/>
  </dataFields>
  <formats count="13">
    <format dxfId="28">
      <pivotArea field="2" type="button" dataOnly="0" labelOnly="1" outline="0" axis="axisPage" fieldPosition="0"/>
    </format>
    <format dxfId="27">
      <pivotArea type="all" dataOnly="0" outline="0" fieldPosition="0"/>
    </format>
    <format dxfId="26">
      <pivotArea outline="0" collapsedLevelsAreSubtotals="1" fieldPosition="0"/>
    </format>
    <format dxfId="25">
      <pivotArea field="1" type="button" dataOnly="0" labelOnly="1" outline="0" axis="axisRow" fieldPosition="0"/>
    </format>
    <format dxfId="24">
      <pivotArea dataOnly="0" labelOnly="1" fieldPosition="0">
        <references count="1">
          <reference field="1" count="0"/>
        </references>
      </pivotArea>
    </format>
    <format dxfId="23">
      <pivotArea dataOnly="0" labelOnly="1" grandRow="1" outline="0" fieldPosition="0"/>
    </format>
    <format dxfId="22">
      <pivotArea dataOnly="0" labelOnly="1" outline="0" axis="axisValues" fieldPosition="0"/>
    </format>
    <format dxfId="21">
      <pivotArea type="all" dataOnly="0" outline="0" fieldPosition="0"/>
    </format>
    <format dxfId="20">
      <pivotArea outline="0" collapsedLevelsAreSubtotals="1" fieldPosition="0"/>
    </format>
    <format dxfId="19">
      <pivotArea field="1" type="button" dataOnly="0" labelOnly="1" outline="0" axis="axisRow" fieldPosition="0"/>
    </format>
    <format dxfId="18">
      <pivotArea dataOnly="0" labelOnly="1" fieldPosition="0">
        <references count="1">
          <reference field="1" count="0"/>
        </references>
      </pivotArea>
    </format>
    <format dxfId="17">
      <pivotArea dataOnly="0" labelOnly="1" grandRow="1" outline="0" fieldPosition="0"/>
    </format>
    <format dxfId="16">
      <pivotArea dataOnly="0" labelOnly="1" outline="0" axis="axisValues" fieldPosition="0"/>
    </format>
  </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tie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EF8B27F-1641-45BD-8B99-226D5143EAFA}" name="PivotTable1" cacheId="5" applyNumberFormats="0" applyBorderFormats="0" applyFontFormats="0" applyPatternFormats="0" applyAlignmentFormats="0" applyWidthHeightFormats="1" dataCaption="Values" tag="3480d9bf-013e-45a4-9878-c293427b03f2" updatedVersion="8" minRefreshableVersion="3" useAutoFormatting="1" subtotalHiddenItems="1" itemPrintTitles="1" createdVersion="8" indent="0" outline="1" outlineData="1" multipleFieldFilters="0" chartFormat="17">
  <location ref="F4:G6" firstHeaderRow="1" firstDataRow="1" firstDataCol="1" rowPageCount="1" colPageCount="1"/>
  <pivotFields count="3">
    <pivotField dataField="1" subtotalTop="0" showAll="0" defaultSubtotal="0"/>
    <pivotField axis="axisRow" allDrilled="1" subtotalTop="0" showAll="0" sortType="ascending" defaultSubtotal="0" defaultAttributeDrillState="1">
      <items count="1">
        <item s="1" x="0"/>
      </items>
    </pivotField>
    <pivotField axis="axisPage" allDrilled="1" subtotalTop="0" showAll="0" dataSourceSort="1" defaultSubtotal="0" defaultAttributeDrillState="1"/>
  </pivotFields>
  <rowFields count="1">
    <field x="1"/>
  </rowFields>
  <rowItems count="2">
    <i>
      <x/>
    </i>
    <i t="grand">
      <x/>
    </i>
  </rowItems>
  <colItems count="1">
    <i/>
  </colItems>
  <pageFields count="1">
    <pageField fld="2" hier="12" name="[Hospital Emergency Room Data].[Patient Admission Date (Year)].[All]" cap="All"/>
  </pageFields>
  <dataFields count="1">
    <dataField name="Total Patient" fld="0" subtotal="count" baseField="0" baseItem="0"/>
  </dataFields>
  <formats count="2">
    <format dxfId="30">
      <pivotArea field="2" type="button" dataOnly="0" labelOnly="1" outline="0" axis="axisPage" fieldPosition="0"/>
    </format>
    <format dxfId="29">
      <pivotArea field="2" type="button" dataOnly="0" labelOnly="1" outline="0" axis="axisPage" fieldPosition="0"/>
    </format>
  </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tient"/>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B605433-4F5B-452E-8822-446B9D61AE59}" name="PivotTable17" cacheId="2" applyNumberFormats="0" applyBorderFormats="0" applyFontFormats="0" applyPatternFormats="0" applyAlignmentFormats="0" applyWidthHeightFormats="1" dataCaption="Values" tag="ff0b1ce1-02e2-42f9-84f4-245838e3b939" updatedVersion="8" minRefreshableVersion="3" useAutoFormatting="1" subtotalHiddenItems="1" itemPrintTitles="1" createdVersion="8" indent="0" outline="1" outlineData="1" multipleFieldFilters="0" chartFormat="9">
  <location ref="O4:P7"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Count of Patient Admission Flag" fld="1" subtotal="count" baseField="0" baseItem="0"/>
  </dataFields>
  <chartFormats count="3">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0" count="1" selected="0">
            <x v="0"/>
          </reference>
        </references>
      </pivotArea>
    </chartFormat>
    <chartFormat chart="8" format="6">
      <pivotArea type="data" outline="0" fieldPosition="0">
        <references count="2">
          <reference field="4294967294" count="1" selected="0">
            <x v="0"/>
          </reference>
          <reference field="0" count="1" selected="0">
            <x v="1"/>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tient"/>
    <pivotHierarchy dragToData="1"/>
    <pivotHierarchy dragToData="1"/>
    <pivotHierarchy dragToData="1"/>
    <pivotHierarchy dragToData="1" caption="Average of Patient Satisfaction Scor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504C736-8A23-4FA8-A0B7-1196811BE8D9}" name="PivotTable16" cacheId="8" applyNumberFormats="0" applyBorderFormats="0" applyFontFormats="0" applyPatternFormats="0" applyAlignmentFormats="0" applyWidthHeightFormats="1" dataCaption="Values" tag="5189a0d4-63c2-430a-9042-9d5b6259b480" updatedVersion="8" minRefreshableVersion="3" useAutoFormatting="1" subtotalHiddenItems="1" rowGrandTotals="0" colGrandTotals="0" itemPrintTitles="1" createdVersion="8" indent="0" outline="1" outlineData="1" multipleFieldFilters="0">
  <location ref="I48:J50"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2">
    <i>
      <x/>
    </i>
    <i>
      <x v="1"/>
    </i>
  </rowItems>
  <colItems count="1">
    <i/>
  </colItems>
  <dataFields count="1">
    <dataField name="Average of Patient Satisfaction Score" fld="0" subtotal="average" baseField="0" baseItem="0" numFmtId="2"/>
  </dataFields>
  <formats count="6">
    <format dxfId="36">
      <pivotArea type="all" dataOnly="0" outline="0" fieldPosition="0"/>
    </format>
    <format dxfId="35">
      <pivotArea outline="0" collapsedLevelsAreSubtotals="1" fieldPosition="0"/>
    </format>
    <format dxfId="34">
      <pivotArea field="1" type="button" dataOnly="0" labelOnly="1" outline="0" axis="axisRow" fieldPosition="0"/>
    </format>
    <format dxfId="33">
      <pivotArea dataOnly="0" labelOnly="1" fieldPosition="0">
        <references count="1">
          <reference field="1" count="0"/>
        </references>
      </pivotArea>
    </format>
    <format dxfId="32">
      <pivotArea dataOnly="0" labelOnly="1" outline="0" axis="axisValues" fieldPosition="0"/>
    </format>
    <format dxfId="31">
      <pivotArea dataOnly="0" labelOnly="1" outline="0" axis="axisValues" fieldPosition="0"/>
    </format>
  </format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Hospital Emergency Room Data].[Patient Admission Date (Month)].&amp;[Oct]"/>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tient"/>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tient_Admission_Date__Year" xr10:uid="{EAE3B6E8-6442-4BB6-B655-ED54B1687EE0}" sourceName="[Hospital Emergency Room Data].[Patient Admission Date (Year)]">
  <pivotTables>
    <pivotTable tabId="1" name="PivotTable1"/>
    <pivotTable tabId="1" name="PivotTable4"/>
    <pivotTable tabId="1" name="PivotTable5"/>
    <pivotTable tabId="1" name="PivotTable7"/>
    <pivotTable tabId="1" name="PivotTable13"/>
    <pivotTable tabId="1" name="PivotTable14"/>
    <pivotTable tabId="1" name="PivotTable15"/>
    <pivotTable tabId="1" name="PivotTable9"/>
    <pivotTable tabId="1" name="PivotTable16"/>
    <pivotTable tabId="1" name="PivotTable17"/>
  </pivotTables>
  <data>
    <olap pivotCacheId="904248018">
      <levels count="2">
        <level uniqueName="[Hospital Emergency Room Data].[Patient Admission Date (Year)].[(All)]" sourceCaption="(All)" count="0"/>
        <level uniqueName="[Hospital Emergency Room Data].[Patient Admission Date (Year)].[Patient Admission Date (Year)]" sourceCaption="Patient Admission Date (Year)" count="2" sortOrder="ascending">
          <ranges>
            <range startItem="0">
              <i n="[Hospital Emergency Room Data].[Patient Admission Date (Year)].&amp;[2023]" c="2023"/>
              <i n="[Hospital Emergency Room Data].[Patient Admission Date (Year)].&amp;[2024]" c="2024"/>
            </range>
          </ranges>
        </level>
      </levels>
      <selections count="1">
        <selection n="[Hospital Emergency Room Data].[Patient Admission Date (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tient_Admission_Date__Month" xr10:uid="{8464A2FF-0491-43CC-A522-B38897B412D4}" sourceName="[Hospital Emergency Room Data].[Patient Admission Date (Month)]">
  <pivotTables>
    <pivotTable tabId="1" name="PivotTable4"/>
    <pivotTable tabId="1" name="PivotTable5"/>
    <pivotTable tabId="1" name="PivotTable1"/>
    <pivotTable tabId="1" name="PivotTable15"/>
    <pivotTable tabId="1" name="PivotTable9"/>
    <pivotTable tabId="1" name="PivotTable16"/>
    <pivotTable tabId="1" name="PivotTable7"/>
  </pivotTables>
  <data>
    <olap pivotCacheId="904248018">
      <levels count="2">
        <level uniqueName="[Hospital Emergency Room Data].[Patient Admission Date (Month)].[(All)]" sourceCaption="(All)" count="0"/>
        <level uniqueName="[Hospital Emergency Room Data].[Patient Admission Date (Month)].[Patient Admission Date (Month)]" sourceCaption="Patient Admission Date (Month)" count="12">
          <ranges>
            <range startItem="0">
              <i n="[Hospital Emergency Room Data].[Patient Admission Date (Month)].&amp;[Jan]" c="Jan"/>
              <i n="[Hospital Emergency Room Data].[Patient Admission Date (Month)].&amp;[Feb]" c="Feb"/>
              <i n="[Hospital Emergency Room Data].[Patient Admission Date (Month)].&amp;[Mar]" c="Mar"/>
              <i n="[Hospital Emergency Room Data].[Patient Admission Date (Month)].&amp;[Apr]" c="Apr"/>
              <i n="[Hospital Emergency Room Data].[Patient Admission Date (Month)].&amp;[May]" c="May"/>
              <i n="[Hospital Emergency Room Data].[Patient Admission Date (Month)].&amp;[Jun]" c="Jun"/>
              <i n="[Hospital Emergency Room Data].[Patient Admission Date (Month)].&amp;[Jul]" c="Jul"/>
              <i n="[Hospital Emergency Room Data].[Patient Admission Date (Month)].&amp;[Aug]" c="Aug"/>
              <i n="[Hospital Emergency Room Data].[Patient Admission Date (Month)].&amp;[Sep]" c="Sep"/>
              <i n="[Hospital Emergency Room Data].[Patient Admission Date (Month)].&amp;[Oct]" c="Oct"/>
              <i n="[Hospital Emergency Room Data].[Patient Admission Date (Month)].&amp;[Nov]" c="Nov"/>
              <i n="[Hospital Emergency Room Data].[Patient Admission Date (Month)].&amp;[Dec]" c="Dec"/>
            </range>
          </ranges>
        </level>
      </levels>
      <selections count="1">
        <selection n="[Hospital Emergency Room Data].[Patient Admission Date (Month)].&amp;[Oct]"/>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tient Admission Date (Year)" xr10:uid="{8C9B1BF5-DC48-4AD0-83FB-5167DA3DD58C}" cache="Slicer_Patient_Admission_Date__Year" caption="Patient Admission Date (Year)" level="1" style="SlicerStyleLight2" rowHeight="216000"/>
  <slicer name="Patient Admission Date (Month)" xr10:uid="{B1A21815-5119-4E69-9932-32C92BD69504}" cache="Slicer_Patient_Admission_Date__Month" caption="Patient Admission Date (Month)" columnCount="2" level="1" style="SlicerStyleLight2 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AAA36-F9C3-47C5-8C51-209F151C940B}">
  <sheetPr codeName="Sheet1"/>
  <dimension ref="F2:Q81"/>
  <sheetViews>
    <sheetView workbookViewId="0">
      <selection activeCell="O19" sqref="O19"/>
    </sheetView>
  </sheetViews>
  <sheetFormatPr defaultRowHeight="14.4" x14ac:dyDescent="0.3"/>
  <cols>
    <col min="6" max="6" width="12.5546875" bestFit="1" customWidth="1"/>
    <col min="7" max="7" width="10.109375" bestFit="1" customWidth="1"/>
    <col min="8" max="8" width="11.6640625" customWidth="1"/>
    <col min="9" max="9" width="12.5546875" bestFit="1" customWidth="1"/>
    <col min="10" max="10" width="10.77734375" bestFit="1" customWidth="1"/>
    <col min="11" max="11" width="8.44140625" customWidth="1"/>
    <col min="12" max="12" width="15.33203125" bestFit="1" customWidth="1"/>
    <col min="13" max="13" width="17" bestFit="1" customWidth="1"/>
    <col min="14" max="14" width="2.88671875" customWidth="1"/>
    <col min="15" max="15" width="12.5546875" bestFit="1" customWidth="1"/>
    <col min="16" max="16" width="20.44140625" bestFit="1" customWidth="1"/>
    <col min="17" max="17" width="12.77734375" bestFit="1" customWidth="1"/>
    <col min="18" max="18" width="20.44140625" bestFit="1" customWidth="1"/>
    <col min="19" max="19" width="9.77734375" bestFit="1" customWidth="1"/>
    <col min="21" max="22" width="9.77734375" bestFit="1" customWidth="1"/>
  </cols>
  <sheetData>
    <row r="2" spans="6:16" x14ac:dyDescent="0.3">
      <c r="F2" s="4" t="s">
        <v>31</v>
      </c>
      <c r="G2" t="s" vm="1">
        <v>32</v>
      </c>
      <c r="I2" s="4" t="s">
        <v>22</v>
      </c>
      <c r="L2" s="4" t="s">
        <v>44</v>
      </c>
      <c r="O2" s="4" t="s">
        <v>44</v>
      </c>
    </row>
    <row r="4" spans="6:16" x14ac:dyDescent="0.3">
      <c r="F4" s="1" t="s">
        <v>0</v>
      </c>
      <c r="G4" t="s">
        <v>2</v>
      </c>
      <c r="I4" s="1" t="s">
        <v>0</v>
      </c>
      <c r="J4" t="s">
        <v>2</v>
      </c>
      <c r="L4" s="1" t="s">
        <v>0</v>
      </c>
      <c r="M4" t="s">
        <v>37</v>
      </c>
      <c r="O4" s="1" t="s">
        <v>0</v>
      </c>
      <c r="P4" t="s">
        <v>51</v>
      </c>
    </row>
    <row r="5" spans="6:16" x14ac:dyDescent="0.3">
      <c r="F5" s="2" t="s">
        <v>9</v>
      </c>
      <c r="G5">
        <v>964</v>
      </c>
      <c r="I5" s="2" t="s">
        <v>15</v>
      </c>
      <c r="J5">
        <v>475</v>
      </c>
      <c r="L5" s="2" t="s">
        <v>23</v>
      </c>
      <c r="M5">
        <v>23</v>
      </c>
      <c r="O5" s="2" t="s">
        <v>52</v>
      </c>
      <c r="P5">
        <v>4612</v>
      </c>
    </row>
    <row r="6" spans="6:16" x14ac:dyDescent="0.3">
      <c r="F6" s="2" t="s">
        <v>1</v>
      </c>
      <c r="G6">
        <v>964</v>
      </c>
      <c r="I6" s="2" t="s">
        <v>16</v>
      </c>
      <c r="J6">
        <v>489</v>
      </c>
      <c r="L6" s="2" t="s">
        <v>24</v>
      </c>
      <c r="M6">
        <v>18</v>
      </c>
      <c r="O6" s="2" t="s">
        <v>53</v>
      </c>
      <c r="P6">
        <v>4604</v>
      </c>
    </row>
    <row r="7" spans="6:16" x14ac:dyDescent="0.3">
      <c r="I7" s="2" t="s">
        <v>1</v>
      </c>
      <c r="J7">
        <v>964</v>
      </c>
      <c r="L7" s="2" t="s">
        <v>25</v>
      </c>
      <c r="M7">
        <v>740</v>
      </c>
      <c r="O7" s="2" t="s">
        <v>1</v>
      </c>
      <c r="P7">
        <v>9216</v>
      </c>
    </row>
    <row r="8" spans="6:16" x14ac:dyDescent="0.3">
      <c r="L8" s="2" t="s">
        <v>26</v>
      </c>
      <c r="M8">
        <v>26</v>
      </c>
    </row>
    <row r="9" spans="6:16" x14ac:dyDescent="0.3">
      <c r="L9" s="2" t="s">
        <v>27</v>
      </c>
      <c r="M9">
        <v>115</v>
      </c>
    </row>
    <row r="10" spans="6:16" x14ac:dyDescent="0.3">
      <c r="I10" s="3" t="s">
        <v>21</v>
      </c>
      <c r="L10" s="2" t="s">
        <v>28</v>
      </c>
      <c r="M10">
        <v>32</v>
      </c>
    </row>
    <row r="11" spans="6:16" x14ac:dyDescent="0.3">
      <c r="L11" s="2" t="s">
        <v>29</v>
      </c>
      <c r="M11">
        <v>10</v>
      </c>
    </row>
    <row r="12" spans="6:16" x14ac:dyDescent="0.3">
      <c r="I12" s="1" t="s">
        <v>0</v>
      </c>
      <c r="J12" t="s">
        <v>2</v>
      </c>
      <c r="L12" s="2" t="s">
        <v>1</v>
      </c>
      <c r="M12">
        <v>964</v>
      </c>
    </row>
    <row r="13" spans="6:16" x14ac:dyDescent="0.3">
      <c r="I13" s="2" t="s">
        <v>17</v>
      </c>
      <c r="J13">
        <v>237</v>
      </c>
    </row>
    <row r="14" spans="6:16" x14ac:dyDescent="0.3">
      <c r="I14" s="2" t="s">
        <v>18</v>
      </c>
      <c r="J14">
        <v>237</v>
      </c>
    </row>
    <row r="15" spans="6:16" x14ac:dyDescent="0.3">
      <c r="I15" s="2" t="s">
        <v>19</v>
      </c>
      <c r="J15">
        <v>248</v>
      </c>
    </row>
    <row r="16" spans="6:16" x14ac:dyDescent="0.3">
      <c r="I16" s="2" t="s">
        <v>20</v>
      </c>
      <c r="J16">
        <v>242</v>
      </c>
    </row>
    <row r="17" spans="6:11" x14ac:dyDescent="0.3">
      <c r="I17" s="2" t="s">
        <v>1</v>
      </c>
      <c r="J17">
        <v>964</v>
      </c>
    </row>
    <row r="21" spans="6:11" x14ac:dyDescent="0.3">
      <c r="H21" t="s">
        <v>43</v>
      </c>
    </row>
    <row r="26" spans="6:11" ht="58.2" thickBot="1" x14ac:dyDescent="0.35">
      <c r="F26" s="7"/>
      <c r="G26" s="7"/>
      <c r="H26" s="7"/>
      <c r="I26" s="6" t="s">
        <v>48</v>
      </c>
      <c r="J26" s="7"/>
      <c r="K26" s="7"/>
    </row>
    <row r="27" spans="6:11" ht="15" thickBot="1" x14ac:dyDescent="0.35">
      <c r="F27" s="45" t="s">
        <v>31</v>
      </c>
      <c r="G27" s="46" t="s" vm="1">
        <v>32</v>
      </c>
      <c r="H27" s="7"/>
      <c r="I27" s="4" t="s">
        <v>49</v>
      </c>
      <c r="J27" s="7"/>
      <c r="K27" s="7"/>
    </row>
    <row r="28" spans="6:11" ht="15" thickBot="1" x14ac:dyDescent="0.35">
      <c r="F28" s="7"/>
      <c r="G28" s="7"/>
      <c r="H28" s="7"/>
      <c r="I28" s="57" t="s">
        <v>50</v>
      </c>
      <c r="J28" s="57"/>
      <c r="K28" s="7"/>
    </row>
    <row r="29" spans="6:11" ht="15" thickBot="1" x14ac:dyDescent="0.35">
      <c r="F29" s="50" t="s">
        <v>0</v>
      </c>
      <c r="G29" s="50" t="s">
        <v>2</v>
      </c>
      <c r="H29" s="7"/>
      <c r="I29" s="27" t="s">
        <v>39</v>
      </c>
      <c r="J29" s="28" t="s">
        <v>40</v>
      </c>
      <c r="K29" s="29" t="s">
        <v>38</v>
      </c>
    </row>
    <row r="30" spans="6:11" x14ac:dyDescent="0.3">
      <c r="F30" s="51" t="s">
        <v>12</v>
      </c>
      <c r="G30" s="47">
        <v>513</v>
      </c>
      <c r="H30" s="7"/>
      <c r="I30" s="30" t="s">
        <v>12</v>
      </c>
      <c r="J30" s="7">
        <f>VLOOKUP(I30,$F$30:$G$41,2,0)</f>
        <v>513</v>
      </c>
      <c r="K30" s="31" t="e">
        <f t="shared" ref="K30:K41" si="0">IF(I30=$F$5,$G$5,NA())</f>
        <v>#N/A</v>
      </c>
    </row>
    <row r="31" spans="6:11" x14ac:dyDescent="0.3">
      <c r="F31" s="52" t="s">
        <v>13</v>
      </c>
      <c r="G31" s="48">
        <v>431</v>
      </c>
      <c r="H31" s="7"/>
      <c r="I31" s="30" t="s">
        <v>13</v>
      </c>
      <c r="J31" s="7">
        <f t="shared" ref="J31:J41" si="1">VLOOKUP(I31,$F$30:$G$41,2,0)</f>
        <v>431</v>
      </c>
      <c r="K31" s="31" t="e">
        <f t="shared" si="0"/>
        <v>#N/A</v>
      </c>
    </row>
    <row r="32" spans="6:11" x14ac:dyDescent="0.3">
      <c r="F32" s="52" t="s">
        <v>14</v>
      </c>
      <c r="G32" s="48">
        <v>506</v>
      </c>
      <c r="H32" s="7"/>
      <c r="I32" s="30" t="s">
        <v>14</v>
      </c>
      <c r="J32" s="7">
        <f t="shared" si="1"/>
        <v>506</v>
      </c>
      <c r="K32" s="31" t="e">
        <f t="shared" si="0"/>
        <v>#N/A</v>
      </c>
    </row>
    <row r="33" spans="6:17" x14ac:dyDescent="0.3">
      <c r="F33" s="52" t="s">
        <v>3</v>
      </c>
      <c r="G33" s="48">
        <v>948</v>
      </c>
      <c r="H33" s="7"/>
      <c r="I33" s="30" t="s">
        <v>3</v>
      </c>
      <c r="J33" s="7">
        <f t="shared" si="1"/>
        <v>948</v>
      </c>
      <c r="K33" s="31" t="e">
        <f t="shared" si="0"/>
        <v>#N/A</v>
      </c>
    </row>
    <row r="34" spans="6:17" x14ac:dyDescent="0.3">
      <c r="F34" s="52" t="s">
        <v>4</v>
      </c>
      <c r="G34" s="48">
        <v>999</v>
      </c>
      <c r="H34" s="7"/>
      <c r="I34" s="30" t="s">
        <v>4</v>
      </c>
      <c r="J34" s="7">
        <f t="shared" si="1"/>
        <v>999</v>
      </c>
      <c r="K34" s="31" t="e">
        <f t="shared" si="0"/>
        <v>#N/A</v>
      </c>
    </row>
    <row r="35" spans="6:17" x14ac:dyDescent="0.3">
      <c r="F35" s="52" t="s">
        <v>5</v>
      </c>
      <c r="G35" s="48">
        <v>991</v>
      </c>
      <c r="H35" s="7"/>
      <c r="I35" s="30" t="s">
        <v>5</v>
      </c>
      <c r="J35" s="7">
        <f t="shared" si="1"/>
        <v>991</v>
      </c>
      <c r="K35" s="31" t="e">
        <f t="shared" si="0"/>
        <v>#N/A</v>
      </c>
    </row>
    <row r="36" spans="6:17" x14ac:dyDescent="0.3">
      <c r="F36" s="52" t="s">
        <v>6</v>
      </c>
      <c r="G36" s="48">
        <v>952</v>
      </c>
      <c r="H36" s="7"/>
      <c r="I36" s="30" t="s">
        <v>6</v>
      </c>
      <c r="J36" s="7">
        <f t="shared" si="1"/>
        <v>952</v>
      </c>
      <c r="K36" s="31" t="e">
        <f t="shared" si="0"/>
        <v>#N/A</v>
      </c>
    </row>
    <row r="37" spans="6:17" x14ac:dyDescent="0.3">
      <c r="F37" s="52" t="s">
        <v>7</v>
      </c>
      <c r="G37" s="48">
        <v>1024</v>
      </c>
      <c r="H37" s="7"/>
      <c r="I37" s="30" t="s">
        <v>7</v>
      </c>
      <c r="J37" s="7">
        <f t="shared" si="1"/>
        <v>1024</v>
      </c>
      <c r="K37" s="31" t="e">
        <f t="shared" si="0"/>
        <v>#N/A</v>
      </c>
    </row>
    <row r="38" spans="6:17" x14ac:dyDescent="0.3">
      <c r="F38" s="52" t="s">
        <v>8</v>
      </c>
      <c r="G38" s="48">
        <v>935</v>
      </c>
      <c r="H38" s="7"/>
      <c r="I38" s="30" t="s">
        <v>8</v>
      </c>
      <c r="J38" s="7">
        <f t="shared" si="1"/>
        <v>935</v>
      </c>
      <c r="K38" s="31" t="e">
        <f t="shared" si="0"/>
        <v>#N/A</v>
      </c>
    </row>
    <row r="39" spans="6:17" x14ac:dyDescent="0.3">
      <c r="F39" s="52" t="s">
        <v>9</v>
      </c>
      <c r="G39" s="48">
        <v>964</v>
      </c>
      <c r="H39" s="7"/>
      <c r="I39" s="30" t="s">
        <v>9</v>
      </c>
      <c r="J39" s="7">
        <f t="shared" si="1"/>
        <v>964</v>
      </c>
      <c r="K39" s="31">
        <f t="shared" si="0"/>
        <v>964</v>
      </c>
    </row>
    <row r="40" spans="6:17" x14ac:dyDescent="0.3">
      <c r="F40" s="52" t="s">
        <v>10</v>
      </c>
      <c r="G40" s="48">
        <v>464</v>
      </c>
      <c r="H40" s="7"/>
      <c r="I40" s="30" t="s">
        <v>10</v>
      </c>
      <c r="J40" s="7">
        <f t="shared" si="1"/>
        <v>464</v>
      </c>
      <c r="K40" s="31" t="e">
        <f t="shared" si="0"/>
        <v>#N/A</v>
      </c>
    </row>
    <row r="41" spans="6:17" ht="15" thickBot="1" x14ac:dyDescent="0.35">
      <c r="F41" s="53" t="s">
        <v>11</v>
      </c>
      <c r="G41" s="48">
        <v>489</v>
      </c>
      <c r="H41" s="7"/>
      <c r="I41" s="32" t="s">
        <v>11</v>
      </c>
      <c r="J41" s="33">
        <f t="shared" si="1"/>
        <v>489</v>
      </c>
      <c r="K41" s="34" t="e">
        <f t="shared" si="0"/>
        <v>#N/A</v>
      </c>
    </row>
    <row r="42" spans="6:17" ht="15" thickBot="1" x14ac:dyDescent="0.35">
      <c r="F42" s="54" t="s">
        <v>1</v>
      </c>
      <c r="G42" s="49">
        <v>9216</v>
      </c>
      <c r="H42" s="7"/>
      <c r="I42" s="7"/>
      <c r="J42" s="7"/>
      <c r="K42" s="7"/>
    </row>
    <row r="43" spans="6:17" x14ac:dyDescent="0.3">
      <c r="F43" s="7"/>
      <c r="G43" s="7"/>
      <c r="H43" s="7"/>
      <c r="I43" s="7"/>
      <c r="J43" s="7"/>
      <c r="K43" s="7"/>
    </row>
    <row r="46" spans="6:17" ht="15" thickBot="1" x14ac:dyDescent="0.35"/>
    <row r="47" spans="6:17" ht="70.8" customHeight="1" thickBot="1" x14ac:dyDescent="0.35">
      <c r="F47" s="12" t="s">
        <v>46</v>
      </c>
      <c r="G47" s="8"/>
      <c r="I47" s="12" t="s">
        <v>45</v>
      </c>
      <c r="J47" s="8"/>
      <c r="L47" s="14" t="s">
        <v>47</v>
      </c>
      <c r="M47" s="8"/>
      <c r="O47" s="12" t="s">
        <v>36</v>
      </c>
      <c r="P47" s="15"/>
      <c r="Q47" s="8"/>
    </row>
    <row r="48" spans="6:17" ht="58.2" thickBot="1" x14ac:dyDescent="0.35">
      <c r="F48" s="35" t="s">
        <v>0</v>
      </c>
      <c r="G48" s="39" t="s">
        <v>30</v>
      </c>
      <c r="I48" s="35" t="s">
        <v>0</v>
      </c>
      <c r="J48" s="39" t="s">
        <v>33</v>
      </c>
      <c r="L48" s="10"/>
      <c r="M48" s="9"/>
      <c r="O48" s="10"/>
      <c r="Q48" s="9"/>
    </row>
    <row r="49" spans="6:17" ht="15" thickBot="1" x14ac:dyDescent="0.35">
      <c r="F49" s="36" t="s">
        <v>42</v>
      </c>
      <c r="G49" s="17">
        <v>34.933062880324542</v>
      </c>
      <c r="I49" s="36" t="s">
        <v>42</v>
      </c>
      <c r="J49" s="43">
        <v>4.7449664429530198</v>
      </c>
      <c r="L49" s="19" t="s">
        <v>0</v>
      </c>
      <c r="M49" s="9"/>
      <c r="O49" s="35" t="s">
        <v>0</v>
      </c>
      <c r="P49" s="38" t="s">
        <v>35</v>
      </c>
      <c r="Q49" s="9"/>
    </row>
    <row r="50" spans="6:17" ht="15" thickBot="1" x14ac:dyDescent="0.35">
      <c r="F50" s="37" t="s">
        <v>41</v>
      </c>
      <c r="G50" s="18">
        <v>34.050955414012741</v>
      </c>
      <c r="I50" s="37" t="s">
        <v>41</v>
      </c>
      <c r="J50" s="44">
        <v>5.3120000000000003</v>
      </c>
      <c r="L50" s="36" t="s">
        <v>42</v>
      </c>
      <c r="M50" s="9"/>
      <c r="O50" s="42" t="s">
        <v>34</v>
      </c>
      <c r="P50" s="40">
        <v>2</v>
      </c>
      <c r="Q50" s="9"/>
    </row>
    <row r="51" spans="6:17" ht="15" thickBot="1" x14ac:dyDescent="0.35">
      <c r="F51" s="10"/>
      <c r="G51" s="9"/>
      <c r="I51" s="10"/>
      <c r="J51" s="9"/>
      <c r="L51" s="37" t="s">
        <v>41</v>
      </c>
      <c r="M51" s="9"/>
      <c r="O51" s="42" t="s">
        <v>1</v>
      </c>
      <c r="P51" s="41">
        <v>2</v>
      </c>
      <c r="Q51" s="9"/>
    </row>
    <row r="52" spans="6:17" ht="15" thickBot="1" x14ac:dyDescent="0.35">
      <c r="F52" s="10"/>
      <c r="G52" s="21">
        <f>IF(G49="","",G49)</f>
        <v>34.933062880324542</v>
      </c>
      <c r="I52" s="10"/>
      <c r="J52" s="9"/>
      <c r="L52" s="10"/>
      <c r="M52" s="9"/>
      <c r="Q52" s="9"/>
    </row>
    <row r="53" spans="6:17" ht="15" thickBot="1" x14ac:dyDescent="0.35">
      <c r="F53" s="10"/>
      <c r="G53" s="22">
        <f>IF(G50="","",G50)</f>
        <v>34.050955414012741</v>
      </c>
      <c r="I53" s="10"/>
      <c r="J53" s="9"/>
      <c r="L53" s="23" t="str">
        <f>IF(L50="", "",L50)</f>
        <v>2023</v>
      </c>
      <c r="M53" s="9"/>
      <c r="Q53" s="9"/>
    </row>
    <row r="54" spans="6:17" ht="15" thickBot="1" x14ac:dyDescent="0.35">
      <c r="F54" s="10"/>
      <c r="G54" s="9"/>
      <c r="I54" s="10"/>
      <c r="J54" s="21">
        <f>IF(J49="","",J49)</f>
        <v>4.7449664429530198</v>
      </c>
      <c r="L54" s="24" t="str">
        <f>IF(L51="", "",L51)</f>
        <v>2024</v>
      </c>
      <c r="M54" s="9"/>
      <c r="Q54" s="9"/>
    </row>
    <row r="55" spans="6:17" ht="15" thickBot="1" x14ac:dyDescent="0.35">
      <c r="F55" s="11"/>
      <c r="G55" s="25">
        <f>IFERROR(AVERAGE(G52:G53),"NA")</f>
        <v>34.492009147168645</v>
      </c>
      <c r="I55" s="10"/>
      <c r="J55" s="22">
        <f>IF(J50="","",J50)</f>
        <v>5.3120000000000003</v>
      </c>
      <c r="L55" s="10"/>
      <c r="M55" s="9"/>
      <c r="Q55" s="16" t="s">
        <v>1</v>
      </c>
    </row>
    <row r="56" spans="6:17" ht="15" thickBot="1" x14ac:dyDescent="0.35">
      <c r="I56" s="10"/>
      <c r="J56" s="9"/>
      <c r="L56" s="26" t="str">
        <f>L53&amp;"  "&amp;L54</f>
        <v>2023  2024</v>
      </c>
      <c r="M56" s="13"/>
      <c r="Q56" s="9"/>
    </row>
    <row r="57" spans="6:17" ht="15" thickBot="1" x14ac:dyDescent="0.35">
      <c r="I57" s="11"/>
      <c r="J57" s="25">
        <f>IFERROR(AVERAGE(J54:J55),"NA")</f>
        <v>5.0284832214765096</v>
      </c>
      <c r="Q57" s="9"/>
    </row>
    <row r="58" spans="6:17" x14ac:dyDescent="0.3">
      <c r="Q58" s="9"/>
    </row>
    <row r="59" spans="6:17" ht="15" thickBot="1" x14ac:dyDescent="0.35">
      <c r="Q59" s="9"/>
    </row>
    <row r="60" spans="6:17" ht="15" thickBot="1" x14ac:dyDescent="0.35">
      <c r="Q60" s="20">
        <f>IFERROR(VLOOKUP(Q55,O49:P81,2,0),"No entry for this filter")</f>
        <v>2</v>
      </c>
    </row>
    <row r="61" spans="6:17" x14ac:dyDescent="0.3">
      <c r="Q61" s="9"/>
    </row>
    <row r="62" spans="6:17" x14ac:dyDescent="0.3">
      <c r="I62" s="5"/>
      <c r="Q62" s="9"/>
    </row>
    <row r="63" spans="6:17" x14ac:dyDescent="0.3">
      <c r="Q63" s="9"/>
    </row>
    <row r="64" spans="6:17" x14ac:dyDescent="0.3">
      <c r="Q64" s="9"/>
    </row>
    <row r="65" spans="17:17" x14ac:dyDescent="0.3">
      <c r="Q65" s="9"/>
    </row>
    <row r="66" spans="17:17" x14ac:dyDescent="0.3">
      <c r="Q66" s="9"/>
    </row>
    <row r="67" spans="17:17" x14ac:dyDescent="0.3">
      <c r="Q67" s="9"/>
    </row>
    <row r="68" spans="17:17" x14ac:dyDescent="0.3">
      <c r="Q68" s="9"/>
    </row>
    <row r="69" spans="17:17" x14ac:dyDescent="0.3">
      <c r="Q69" s="9"/>
    </row>
    <row r="70" spans="17:17" x14ac:dyDescent="0.3">
      <c r="Q70" s="9"/>
    </row>
    <row r="71" spans="17:17" x14ac:dyDescent="0.3">
      <c r="Q71" s="9"/>
    </row>
    <row r="72" spans="17:17" x14ac:dyDescent="0.3">
      <c r="Q72" s="9"/>
    </row>
    <row r="73" spans="17:17" x14ac:dyDescent="0.3">
      <c r="Q73" s="9"/>
    </row>
    <row r="74" spans="17:17" x14ac:dyDescent="0.3">
      <c r="Q74" s="9"/>
    </row>
    <row r="75" spans="17:17" x14ac:dyDescent="0.3">
      <c r="Q75" s="9"/>
    </row>
    <row r="76" spans="17:17" x14ac:dyDescent="0.3">
      <c r="Q76" s="9"/>
    </row>
    <row r="77" spans="17:17" x14ac:dyDescent="0.3">
      <c r="Q77" s="9"/>
    </row>
    <row r="78" spans="17:17" x14ac:dyDescent="0.3">
      <c r="Q78" s="9"/>
    </row>
    <row r="79" spans="17:17" x14ac:dyDescent="0.3">
      <c r="Q79" s="9"/>
    </row>
    <row r="80" spans="17:17" ht="15" thickBot="1" x14ac:dyDescent="0.35">
      <c r="Q80" s="9"/>
    </row>
    <row r="81" spans="17:17" ht="15" thickBot="1" x14ac:dyDescent="0.35">
      <c r="Q81" s="13"/>
    </row>
  </sheetData>
  <mergeCells count="1">
    <mergeCell ref="I28:J28"/>
  </mergeCells>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5BCB8-D164-4D53-995B-25A9BF07568B}">
  <sheetPr codeName="Sheet2"/>
  <dimension ref="I10"/>
  <sheetViews>
    <sheetView showGridLines="0" tabSelected="1" topLeftCell="B1" zoomScale="130" zoomScaleNormal="130" workbookViewId="0">
      <selection activeCell="S9" sqref="S9"/>
    </sheetView>
  </sheetViews>
  <sheetFormatPr defaultRowHeight="14.4" x14ac:dyDescent="0.3"/>
  <cols>
    <col min="1" max="2" width="8.88671875" style="56"/>
    <col min="3" max="3" width="1.21875" style="56" customWidth="1"/>
    <col min="4" max="9" width="8.88671875" style="56"/>
    <col min="10" max="10" width="13.44140625" style="56" customWidth="1"/>
    <col min="11" max="14" width="8.88671875" style="56"/>
    <col min="15" max="15" width="10.6640625" style="56" customWidth="1"/>
    <col min="16" max="16384" width="8.88671875" style="56"/>
  </cols>
  <sheetData>
    <row r="10" spans="9:9" x14ac:dyDescent="0.3">
      <c r="I10" s="55"/>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3938CF85-C994-45D2-92EC-AE233CFED12A}">
  <ds:schemaRefs/>
</ds:datastoreItem>
</file>

<file path=customXml/itemProps2.xml><?xml version="1.0" encoding="utf-8"?>
<ds:datastoreItem xmlns:ds="http://schemas.openxmlformats.org/officeDocument/2006/customXml" ds:itemID="{167B37A8-BFC9-4CD4-90D4-7E527781E15C}">
  <ds:schemaRefs/>
</ds:datastoreItem>
</file>

<file path=customXml/itemProps3.xml><?xml version="1.0" encoding="utf-8"?>
<ds:datastoreItem xmlns:ds="http://schemas.openxmlformats.org/officeDocument/2006/customXml" ds:itemID="{CE88FE6B-F65E-471A-B504-8D5010BC7A34}">
  <ds:schemaRefs/>
</ds:datastoreItem>
</file>

<file path=customXml/itemProps4.xml><?xml version="1.0" encoding="utf-8"?>
<ds:datastoreItem xmlns:ds="http://schemas.openxmlformats.org/officeDocument/2006/customXml" ds:itemID="{F3BD9701-F37A-46B2-AD50-A734CC16F7BF}">
  <ds:schemaRefs/>
</ds:datastoreItem>
</file>

<file path=customXml/itemProps5.xml><?xml version="1.0" encoding="utf-8"?>
<ds:datastoreItem xmlns:ds="http://schemas.openxmlformats.org/officeDocument/2006/customXml" ds:itemID="{F7A6AE96-2772-4A23-88FC-C0D8FE3432C2}">
  <ds:schemaRefs/>
</ds:datastoreItem>
</file>

<file path=customXml/itemProps6.xml><?xml version="1.0" encoding="utf-8"?>
<ds:datastoreItem xmlns:ds="http://schemas.openxmlformats.org/officeDocument/2006/customXml" ds:itemID="{6DA0266B-D801-4131-8FB9-4E97AD58C0CE}">
  <ds:schemaRefs/>
</ds:datastoreItem>
</file>

<file path=customXml/itemProps7.xml><?xml version="1.0" encoding="utf-8"?>
<ds:datastoreItem xmlns:ds="http://schemas.openxmlformats.org/officeDocument/2006/customXml" ds:itemID="{F08F02BD-9086-4F62-8368-6C172B49C4C9}">
  <ds:schemaRefs/>
</ds:datastoreItem>
</file>

<file path=customXml/itemProps8.xml><?xml version="1.0" encoding="utf-8"?>
<ds:datastoreItem xmlns:ds="http://schemas.openxmlformats.org/officeDocument/2006/customXml" ds:itemID="{051B4218-45A9-47DF-B66A-D805FE30FC87}">
  <ds:schemaRefs/>
</ds:datastoreItem>
</file>

<file path=customXml/itemProps9.xml><?xml version="1.0" encoding="utf-8"?>
<ds:datastoreItem xmlns:ds="http://schemas.openxmlformats.org/officeDocument/2006/customXml" ds:itemID="{7A38EBAC-C0AE-48CD-A5DE-AE2EC8E6F0E9}">
  <ds:schemaRefs/>
</ds:datastoreItem>
</file>

<file path=customXml/itemProps10.xml><?xml version="1.0" encoding="utf-8"?>
<ds:datastoreItem xmlns:ds="http://schemas.openxmlformats.org/officeDocument/2006/customXml" ds:itemID="{C3118C5E-015A-4370-ACD9-6DFB8E5B8AA1}">
  <ds:schemaRefs/>
</ds:datastoreItem>
</file>

<file path=customXml/itemProps11.xml><?xml version="1.0" encoding="utf-8"?>
<ds:datastoreItem xmlns:ds="http://schemas.openxmlformats.org/officeDocument/2006/customXml" ds:itemID="{72DF0591-E2EE-44C0-9676-2D3025131296}">
  <ds:schemaRefs/>
</ds:datastoreItem>
</file>

<file path=customXml/itemProps12.xml><?xml version="1.0" encoding="utf-8"?>
<ds:datastoreItem xmlns:ds="http://schemas.openxmlformats.org/officeDocument/2006/customXml" ds:itemID="{710BBC09-8DBC-4AAE-973C-BD69BA19406C}">
  <ds:schemaRefs/>
</ds:datastoreItem>
</file>

<file path=customXml/itemProps13.xml><?xml version="1.0" encoding="utf-8"?>
<ds:datastoreItem xmlns:ds="http://schemas.openxmlformats.org/officeDocument/2006/customXml" ds:itemID="{FAE4232D-9098-4CE5-BEBD-7509988D0CC1}">
  <ds:schemaRefs/>
</ds:datastoreItem>
</file>

<file path=customXml/itemProps14.xml><?xml version="1.0" encoding="utf-8"?>
<ds:datastoreItem xmlns:ds="http://schemas.openxmlformats.org/officeDocument/2006/customXml" ds:itemID="{AE9990E5-56B9-4F08-80A3-5C7A96E50C9A}">
  <ds:schemaRefs/>
</ds:datastoreItem>
</file>

<file path=customXml/itemProps15.xml><?xml version="1.0" encoding="utf-8"?>
<ds:datastoreItem xmlns:ds="http://schemas.openxmlformats.org/officeDocument/2006/customXml" ds:itemID="{AF8C804B-342C-4D94-B224-E640B31DEB07}">
  <ds:schemaRefs/>
</ds:datastoreItem>
</file>

<file path=customXml/itemProps16.xml><?xml version="1.0" encoding="utf-8"?>
<ds:datastoreItem xmlns:ds="http://schemas.openxmlformats.org/officeDocument/2006/customXml" ds:itemID="{25652131-8A8A-4151-83D4-B8415688D0E9}">
  <ds:schemaRefs/>
</ds:datastoreItem>
</file>

<file path=customXml/itemProps17.xml><?xml version="1.0" encoding="utf-8"?>
<ds:datastoreItem xmlns:ds="http://schemas.openxmlformats.org/officeDocument/2006/customXml" ds:itemID="{63960F85-4D84-4760-AB18-846936F29922}">
  <ds:schemaRefs/>
</ds:datastoreItem>
</file>

<file path=customXml/itemProps18.xml><?xml version="1.0" encoding="utf-8"?>
<ds:datastoreItem xmlns:ds="http://schemas.openxmlformats.org/officeDocument/2006/customXml" ds:itemID="{C2B00C4A-98B1-4EE8-BA3F-BA3CA6EA7E44}">
  <ds:schemaRefs/>
</ds:datastoreItem>
</file>

<file path=customXml/itemProps19.xml><?xml version="1.0" encoding="utf-8"?>
<ds:datastoreItem xmlns:ds="http://schemas.openxmlformats.org/officeDocument/2006/customXml" ds:itemID="{37C0D04C-B2E2-4C3F-93E2-0B875AFA6211}">
  <ds:schemaRefs/>
</ds:datastoreItem>
</file>

<file path=customXml/itemProps20.xml><?xml version="1.0" encoding="utf-8"?>
<ds:datastoreItem xmlns:ds="http://schemas.openxmlformats.org/officeDocument/2006/customXml" ds:itemID="{479C3018-AA0A-4057-A1E1-78C6909EBC7A}">
  <ds:schemaRefs/>
</ds:datastoreItem>
</file>

<file path=customXml/itemProps21.xml><?xml version="1.0" encoding="utf-8"?>
<ds:datastoreItem xmlns:ds="http://schemas.openxmlformats.org/officeDocument/2006/customXml" ds:itemID="{66F64A45-AA08-4037-BCC7-11D2B73C2E3F}">
  <ds:schemaRefs/>
</ds:datastoreItem>
</file>

<file path=customXml/itemProps22.xml><?xml version="1.0" encoding="utf-8"?>
<ds:datastoreItem xmlns:ds="http://schemas.openxmlformats.org/officeDocument/2006/customXml" ds:itemID="{B5969546-A490-4C1A-9A83-898DF9A70230}">
  <ds:schemaRefs/>
</ds:datastoreItem>
</file>

<file path=customXml/itemProps23.xml><?xml version="1.0" encoding="utf-8"?>
<ds:datastoreItem xmlns:ds="http://schemas.openxmlformats.org/officeDocument/2006/customXml" ds:itemID="{001453EC-22C4-45DF-AF1A-89BA477E1B36}">
  <ds:schemaRefs/>
</ds:datastoreItem>
</file>

<file path=customXml/itemProps24.xml><?xml version="1.0" encoding="utf-8"?>
<ds:datastoreItem xmlns:ds="http://schemas.openxmlformats.org/officeDocument/2006/customXml" ds:itemID="{A6AF6C31-664C-45A5-9BB9-D21C0B5606CB}">
  <ds:schemaRefs/>
</ds:datastoreItem>
</file>

<file path=customXml/itemProps25.xml><?xml version="1.0" encoding="utf-8"?>
<ds:datastoreItem xmlns:ds="http://schemas.openxmlformats.org/officeDocument/2006/customXml" ds:itemID="{AE3D3B92-8C91-4E8A-A875-43AF1BC474B0}">
  <ds:schemaRefs/>
</ds:datastoreItem>
</file>

<file path=customXml/itemProps26.xml><?xml version="1.0" encoding="utf-8"?>
<ds:datastoreItem xmlns:ds="http://schemas.openxmlformats.org/officeDocument/2006/customXml" ds:itemID="{D0918A14-B602-4800-B530-6C0B5A033549}">
  <ds:schemaRefs>
    <ds:schemaRef ds:uri="http://schemas.microsoft.com/DataMashup"/>
  </ds:schemaRefs>
</ds:datastoreItem>
</file>

<file path=customXml/itemProps27.xml><?xml version="1.0" encoding="utf-8"?>
<ds:datastoreItem xmlns:ds="http://schemas.openxmlformats.org/officeDocument/2006/customXml" ds:itemID="{F14C27C9-D60F-47F6-B886-B36507B6071D}">
  <ds:schemaRefs/>
</ds:datastoreItem>
</file>

<file path=customXml/itemProps28.xml><?xml version="1.0" encoding="utf-8"?>
<ds:datastoreItem xmlns:ds="http://schemas.openxmlformats.org/officeDocument/2006/customXml" ds:itemID="{773363EF-1D93-481B-A382-2B91CC5F9E50}">
  <ds:schemaRefs/>
</ds:datastoreItem>
</file>

<file path=customXml/itemProps29.xml><?xml version="1.0" encoding="utf-8"?>
<ds:datastoreItem xmlns:ds="http://schemas.openxmlformats.org/officeDocument/2006/customXml" ds:itemID="{539D353E-5571-418E-89FC-35D8258CB9CD}">
  <ds:schemaRefs/>
</ds:datastoreItem>
</file>

<file path=customXml/itemProps30.xml><?xml version="1.0" encoding="utf-8"?>
<ds:datastoreItem xmlns:ds="http://schemas.openxmlformats.org/officeDocument/2006/customXml" ds:itemID="{E30BAF9F-AEE2-4E30-8F60-D72686F7C8B5}">
  <ds:schemaRefs/>
</ds:datastoreItem>
</file>

<file path=customXml/itemProps31.xml><?xml version="1.0" encoding="utf-8"?>
<ds:datastoreItem xmlns:ds="http://schemas.openxmlformats.org/officeDocument/2006/customXml" ds:itemID="{B2F5556D-3960-4A7C-9295-DE9E8F69AD3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Harshini Pintu</dc:creator>
  <cp:lastModifiedBy>Harshini Pintu</cp:lastModifiedBy>
  <dcterms:created xsi:type="dcterms:W3CDTF">2025-06-28T10:16:23Z</dcterms:created>
  <dcterms:modified xsi:type="dcterms:W3CDTF">2025-06-30T14:47:29Z</dcterms:modified>
</cp:coreProperties>
</file>